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Projects\PaperPubilished\IJOC-SCDSP-2026\CodeandData\Analysis2\"/>
    </mc:Choice>
  </mc:AlternateContent>
  <xr:revisionPtr revIDLastSave="0" documentId="13_ncr:1_{3F06368D-A045-4824-BF00-E7EBD4863CCB}" xr6:coauthVersionLast="47" xr6:coauthVersionMax="47" xr10:uidLastSave="{00000000-0000-0000-0000-000000000000}"/>
  <bookViews>
    <workbookView xWindow="760" yWindow="760" windowWidth="32060" windowHeight="19150" activeTab="2" xr2:uid="{00000000-000D-0000-FFFF-FFFF00000000}"/>
  </bookViews>
  <sheets>
    <sheet name="BaselinePolicy" sheetId="6" r:id="rId1"/>
    <sheet name="SimHGS Vs MVND" sheetId="3" r:id="rId2"/>
    <sheet name="HGSVsMILP" sheetId="5" r:id="rId3"/>
  </sheets>
  <calcPr calcId="191029"/>
</workbook>
</file>

<file path=xl/calcChain.xml><?xml version="1.0" encoding="utf-8"?>
<calcChain xmlns="http://schemas.openxmlformats.org/spreadsheetml/2006/main">
  <c r="N3" i="3" l="1"/>
  <c r="N74" i="5"/>
  <c r="M74" i="5"/>
  <c r="L74" i="5"/>
  <c r="N50" i="5"/>
  <c r="M50" i="5"/>
  <c r="L50" i="5"/>
  <c r="M26" i="5"/>
  <c r="N26" i="5"/>
  <c r="L26" i="5"/>
  <c r="I4" i="5"/>
  <c r="J4" i="5"/>
  <c r="K4" i="5"/>
  <c r="I5" i="5"/>
  <c r="J5" i="5"/>
  <c r="K5" i="5"/>
  <c r="I6" i="5"/>
  <c r="J6" i="5"/>
  <c r="K6" i="5"/>
  <c r="I7" i="5"/>
  <c r="J7" i="5"/>
  <c r="K7" i="5"/>
  <c r="I8" i="5"/>
  <c r="J8" i="5"/>
  <c r="K8" i="5"/>
  <c r="I9" i="5"/>
  <c r="J9" i="5"/>
  <c r="K9" i="5"/>
  <c r="I10" i="5"/>
  <c r="J10" i="5"/>
  <c r="K10" i="5"/>
  <c r="I11" i="5"/>
  <c r="J11" i="5"/>
  <c r="K11" i="5"/>
  <c r="I12" i="5"/>
  <c r="J12" i="5"/>
  <c r="K12" i="5"/>
  <c r="I13" i="5"/>
  <c r="J13" i="5"/>
  <c r="K13" i="5"/>
  <c r="I14" i="5"/>
  <c r="J14" i="5"/>
  <c r="K14" i="5"/>
  <c r="I15" i="5"/>
  <c r="J15" i="5"/>
  <c r="K15" i="5"/>
  <c r="I16" i="5"/>
  <c r="J16" i="5"/>
  <c r="K16" i="5"/>
  <c r="I17" i="5"/>
  <c r="J17" i="5"/>
  <c r="K17" i="5"/>
  <c r="I18" i="5"/>
  <c r="J18" i="5"/>
  <c r="K18" i="5"/>
  <c r="I19" i="5"/>
  <c r="J19" i="5"/>
  <c r="K19" i="5"/>
  <c r="I20" i="5"/>
  <c r="J20" i="5"/>
  <c r="K20" i="5"/>
  <c r="I21" i="5"/>
  <c r="J21" i="5"/>
  <c r="K21" i="5"/>
  <c r="I22" i="5"/>
  <c r="J22" i="5"/>
  <c r="K22" i="5"/>
  <c r="I23" i="5"/>
  <c r="J23" i="5"/>
  <c r="K23" i="5"/>
  <c r="I24" i="5"/>
  <c r="J24" i="5"/>
  <c r="K24" i="5"/>
  <c r="I25" i="5"/>
  <c r="J25" i="5"/>
  <c r="K25" i="5"/>
  <c r="I26" i="5"/>
  <c r="J26" i="5"/>
  <c r="K26" i="5"/>
  <c r="I27" i="5"/>
  <c r="J27" i="5"/>
  <c r="K27" i="5"/>
  <c r="I28" i="5"/>
  <c r="J28" i="5"/>
  <c r="K28" i="5"/>
  <c r="I29" i="5"/>
  <c r="J29" i="5"/>
  <c r="K29" i="5"/>
  <c r="I30" i="5"/>
  <c r="J30" i="5"/>
  <c r="K30" i="5"/>
  <c r="I31" i="5"/>
  <c r="J31" i="5"/>
  <c r="K31" i="5"/>
  <c r="I32" i="5"/>
  <c r="J32" i="5"/>
  <c r="K32" i="5"/>
  <c r="I33" i="5"/>
  <c r="J33" i="5"/>
  <c r="K33" i="5"/>
  <c r="I34" i="5"/>
  <c r="J34" i="5"/>
  <c r="K34" i="5"/>
  <c r="I35" i="5"/>
  <c r="J35" i="5"/>
  <c r="K35" i="5"/>
  <c r="I36" i="5"/>
  <c r="J36" i="5"/>
  <c r="K36" i="5"/>
  <c r="I37" i="5"/>
  <c r="J37" i="5"/>
  <c r="K37" i="5"/>
  <c r="I38" i="5"/>
  <c r="J38" i="5"/>
  <c r="K38" i="5"/>
  <c r="I39" i="5"/>
  <c r="J39" i="5"/>
  <c r="K39" i="5"/>
  <c r="I40" i="5"/>
  <c r="J40" i="5"/>
  <c r="K40" i="5"/>
  <c r="I41" i="5"/>
  <c r="J41" i="5"/>
  <c r="K41" i="5"/>
  <c r="I42" i="5"/>
  <c r="J42" i="5"/>
  <c r="K42" i="5"/>
  <c r="I43" i="5"/>
  <c r="J43" i="5"/>
  <c r="K43" i="5"/>
  <c r="I44" i="5"/>
  <c r="J44" i="5"/>
  <c r="K44" i="5"/>
  <c r="I45" i="5"/>
  <c r="J45" i="5"/>
  <c r="K45" i="5"/>
  <c r="I46" i="5"/>
  <c r="J46" i="5"/>
  <c r="K46" i="5"/>
  <c r="I47" i="5"/>
  <c r="J47" i="5"/>
  <c r="K47" i="5"/>
  <c r="I48" i="5"/>
  <c r="J48" i="5"/>
  <c r="K48" i="5"/>
  <c r="I49" i="5"/>
  <c r="J49" i="5"/>
  <c r="K49" i="5"/>
  <c r="I50" i="5"/>
  <c r="J50" i="5"/>
  <c r="K50" i="5"/>
  <c r="I51" i="5"/>
  <c r="J51" i="5"/>
  <c r="K51" i="5"/>
  <c r="I52" i="5"/>
  <c r="J52" i="5"/>
  <c r="K52" i="5"/>
  <c r="I53" i="5"/>
  <c r="J53" i="5"/>
  <c r="K53" i="5"/>
  <c r="I54" i="5"/>
  <c r="J54" i="5"/>
  <c r="K54" i="5"/>
  <c r="I55" i="5"/>
  <c r="J55" i="5"/>
  <c r="K55" i="5"/>
  <c r="I56" i="5"/>
  <c r="J56" i="5"/>
  <c r="K56" i="5"/>
  <c r="I57" i="5"/>
  <c r="J57" i="5"/>
  <c r="K57" i="5"/>
  <c r="I58" i="5"/>
  <c r="J58" i="5"/>
  <c r="K58" i="5"/>
  <c r="I59" i="5"/>
  <c r="J59" i="5"/>
  <c r="K59" i="5"/>
  <c r="I60" i="5"/>
  <c r="J60" i="5"/>
  <c r="K60" i="5"/>
  <c r="I61" i="5"/>
  <c r="J61" i="5"/>
  <c r="K61" i="5"/>
  <c r="I62" i="5"/>
  <c r="J62" i="5"/>
  <c r="K62" i="5"/>
  <c r="I63" i="5"/>
  <c r="J63" i="5"/>
  <c r="K63" i="5"/>
  <c r="I64" i="5"/>
  <c r="J64" i="5"/>
  <c r="K64" i="5"/>
  <c r="I65" i="5"/>
  <c r="J65" i="5"/>
  <c r="K65" i="5"/>
  <c r="I66" i="5"/>
  <c r="J66" i="5"/>
  <c r="K66" i="5"/>
  <c r="I67" i="5"/>
  <c r="J67" i="5"/>
  <c r="K67" i="5"/>
  <c r="I68" i="5"/>
  <c r="J68" i="5"/>
  <c r="K68" i="5"/>
  <c r="I69" i="5"/>
  <c r="J69" i="5"/>
  <c r="K69" i="5"/>
  <c r="I70" i="5"/>
  <c r="J70" i="5"/>
  <c r="K70" i="5"/>
  <c r="I71" i="5"/>
  <c r="J71" i="5"/>
  <c r="K71" i="5"/>
  <c r="I72" i="5"/>
  <c r="J72" i="5"/>
  <c r="K72" i="5"/>
  <c r="I73" i="5"/>
  <c r="J73" i="5"/>
  <c r="K73" i="5"/>
  <c r="I74" i="5"/>
  <c r="J74" i="5"/>
  <c r="K74" i="5"/>
  <c r="K3" i="5"/>
  <c r="J3" i="5"/>
  <c r="I3" i="5"/>
  <c r="Q3" i="3" l="1"/>
  <c r="M3" i="3"/>
  <c r="S3" i="3" s="1"/>
  <c r="L3" i="3"/>
  <c r="P3" i="3" s="1"/>
  <c r="Y3" i="3" s="1"/>
  <c r="R3" i="3" l="1"/>
  <c r="H3" i="6" l="1"/>
  <c r="I3" i="6"/>
  <c r="J3" i="6"/>
  <c r="H4" i="6"/>
  <c r="I4" i="6"/>
  <c r="J4" i="6"/>
  <c r="H5" i="6"/>
  <c r="I5" i="6"/>
  <c r="J5" i="6"/>
  <c r="H6" i="6"/>
  <c r="I6" i="6"/>
  <c r="J6" i="6"/>
  <c r="H7" i="6"/>
  <c r="I7" i="6"/>
  <c r="J7" i="6"/>
  <c r="H8" i="6"/>
  <c r="I8" i="6"/>
  <c r="J8" i="6"/>
  <c r="H9" i="6"/>
  <c r="I9" i="6"/>
  <c r="J9" i="6"/>
  <c r="H10" i="6"/>
  <c r="I10" i="6"/>
  <c r="J10" i="6"/>
  <c r="H11" i="6"/>
  <c r="I11" i="6"/>
  <c r="J11" i="6"/>
  <c r="H12" i="6"/>
  <c r="I12" i="6"/>
  <c r="J12" i="6"/>
  <c r="H13" i="6"/>
  <c r="I13" i="6"/>
  <c r="J13" i="6"/>
  <c r="H14" i="6"/>
  <c r="I14" i="6"/>
  <c r="J14" i="6"/>
  <c r="H15" i="6"/>
  <c r="I15" i="6"/>
  <c r="J15" i="6"/>
  <c r="H16" i="6"/>
  <c r="I16" i="6"/>
  <c r="J16" i="6"/>
  <c r="H17" i="6"/>
  <c r="I17" i="6"/>
  <c r="J17" i="6"/>
  <c r="H18" i="6"/>
  <c r="I18" i="6"/>
  <c r="J18" i="6"/>
  <c r="H19" i="6"/>
  <c r="I19" i="6"/>
  <c r="J19" i="6"/>
  <c r="H20" i="6"/>
  <c r="I20" i="6"/>
  <c r="J20" i="6"/>
  <c r="H21" i="6"/>
  <c r="I21" i="6"/>
  <c r="J21" i="6"/>
  <c r="H22" i="6"/>
  <c r="I22" i="6"/>
  <c r="J22" i="6"/>
  <c r="H23" i="6"/>
  <c r="I23" i="6"/>
  <c r="J23" i="6"/>
  <c r="H24" i="6"/>
  <c r="I24" i="6"/>
  <c r="J24" i="6"/>
  <c r="H25" i="6"/>
  <c r="I25" i="6"/>
  <c r="J25" i="6"/>
  <c r="H26" i="6"/>
  <c r="I26" i="6"/>
  <c r="J26" i="6"/>
  <c r="H27" i="6"/>
  <c r="I27" i="6"/>
  <c r="J27" i="6"/>
  <c r="H28" i="6"/>
  <c r="I28" i="6"/>
  <c r="J28" i="6"/>
  <c r="H29" i="6"/>
  <c r="I29" i="6"/>
  <c r="J29" i="6"/>
  <c r="H30" i="6"/>
  <c r="I30" i="6"/>
  <c r="J30" i="6"/>
  <c r="H31" i="6"/>
  <c r="I31" i="6"/>
  <c r="J31" i="6"/>
  <c r="H32" i="6"/>
  <c r="I32" i="6"/>
  <c r="J32" i="6"/>
  <c r="H33" i="6"/>
  <c r="I33" i="6"/>
  <c r="J33" i="6"/>
  <c r="H34" i="6"/>
  <c r="I34" i="6"/>
  <c r="J34" i="6"/>
  <c r="H35" i="6"/>
  <c r="I35" i="6"/>
  <c r="J35" i="6"/>
  <c r="H36" i="6"/>
  <c r="I36" i="6"/>
  <c r="J36" i="6"/>
  <c r="H37" i="6"/>
  <c r="I37" i="6"/>
  <c r="J37" i="6"/>
  <c r="H38" i="6"/>
  <c r="I38" i="6"/>
  <c r="J38" i="6"/>
  <c r="H39" i="6"/>
  <c r="I39" i="6"/>
  <c r="J39" i="6"/>
  <c r="H40" i="6"/>
  <c r="I40" i="6"/>
  <c r="J40" i="6"/>
  <c r="H41" i="6"/>
  <c r="I41" i="6"/>
  <c r="J41" i="6"/>
  <c r="H42" i="6"/>
  <c r="I42" i="6"/>
  <c r="J42" i="6"/>
  <c r="H43" i="6"/>
  <c r="I43" i="6"/>
  <c r="J43" i="6"/>
  <c r="H44" i="6"/>
  <c r="I44" i="6"/>
  <c r="J44" i="6"/>
  <c r="H45" i="6"/>
  <c r="I45" i="6"/>
  <c r="J45" i="6"/>
  <c r="H46" i="6"/>
  <c r="I46" i="6"/>
  <c r="J46" i="6"/>
  <c r="H47" i="6"/>
  <c r="I47" i="6"/>
  <c r="J47" i="6"/>
  <c r="H48" i="6"/>
  <c r="I48" i="6"/>
  <c r="J48" i="6"/>
  <c r="H49" i="6"/>
  <c r="I49" i="6"/>
  <c r="J49" i="6"/>
  <c r="H50" i="6"/>
  <c r="I50" i="6"/>
  <c r="J50" i="6"/>
  <c r="H51" i="6"/>
  <c r="I51" i="6"/>
  <c r="J51" i="6"/>
  <c r="H52" i="6"/>
  <c r="I52" i="6"/>
  <c r="J52" i="6"/>
  <c r="H53" i="6"/>
  <c r="I53" i="6"/>
  <c r="J53" i="6"/>
  <c r="H54" i="6"/>
  <c r="I54" i="6"/>
  <c r="J54" i="6"/>
  <c r="H55" i="6"/>
  <c r="I55" i="6"/>
  <c r="J55" i="6"/>
  <c r="H56" i="6"/>
  <c r="I56" i="6"/>
  <c r="J56" i="6"/>
  <c r="H57" i="6"/>
  <c r="I57" i="6"/>
  <c r="J57" i="6"/>
  <c r="H58" i="6"/>
  <c r="I58" i="6"/>
  <c r="J58" i="6"/>
  <c r="H59" i="6"/>
  <c r="I59" i="6"/>
  <c r="J59" i="6"/>
  <c r="H60" i="6"/>
  <c r="I60" i="6"/>
  <c r="J60" i="6"/>
  <c r="H61" i="6"/>
  <c r="I61" i="6"/>
  <c r="J61" i="6"/>
  <c r="H62" i="6"/>
  <c r="I62" i="6"/>
  <c r="J62" i="6"/>
  <c r="H63" i="6"/>
  <c r="I63" i="6"/>
  <c r="J63" i="6"/>
  <c r="H64" i="6"/>
  <c r="I64" i="6"/>
  <c r="J64" i="6"/>
  <c r="H65" i="6"/>
  <c r="I65" i="6"/>
  <c r="J65" i="6"/>
  <c r="H66" i="6"/>
  <c r="I66" i="6"/>
  <c r="J66" i="6"/>
  <c r="H67" i="6"/>
  <c r="I67" i="6"/>
  <c r="J67" i="6"/>
  <c r="H68" i="6"/>
  <c r="I68" i="6"/>
  <c r="J68" i="6"/>
  <c r="H69" i="6"/>
  <c r="I69" i="6"/>
  <c r="J69" i="6"/>
  <c r="H70" i="6"/>
  <c r="I70" i="6"/>
  <c r="J70" i="6"/>
  <c r="H71" i="6"/>
  <c r="I71" i="6"/>
  <c r="J71" i="6"/>
  <c r="H72" i="6"/>
  <c r="I72" i="6"/>
  <c r="J72" i="6"/>
  <c r="H73" i="6"/>
  <c r="I73" i="6"/>
  <c r="J73" i="6"/>
  <c r="J2" i="6"/>
  <c r="I2" i="6"/>
  <c r="H2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2" i="6"/>
  <c r="M28" i="3"/>
  <c r="R28" i="3" s="1"/>
  <c r="M29" i="3"/>
  <c r="S29" i="3" s="1"/>
  <c r="M30" i="3"/>
  <c r="R30" i="3" s="1"/>
  <c r="M31" i="3"/>
  <c r="S31" i="3" s="1"/>
  <c r="M32" i="3"/>
  <c r="R32" i="3" s="1"/>
  <c r="M33" i="3"/>
  <c r="R33" i="3" s="1"/>
  <c r="M34" i="3"/>
  <c r="R34" i="3" s="1"/>
  <c r="M35" i="3"/>
  <c r="R35" i="3" s="1"/>
  <c r="M36" i="3"/>
  <c r="R36" i="3" s="1"/>
  <c r="M37" i="3"/>
  <c r="S37" i="3" s="1"/>
  <c r="M38" i="3"/>
  <c r="R38" i="3" s="1"/>
  <c r="M39" i="3"/>
  <c r="S39" i="3" s="1"/>
  <c r="M40" i="3"/>
  <c r="R40" i="3" s="1"/>
  <c r="M41" i="3"/>
  <c r="R41" i="3" s="1"/>
  <c r="M42" i="3"/>
  <c r="R42" i="3" s="1"/>
  <c r="M43" i="3"/>
  <c r="S43" i="3" s="1"/>
  <c r="M44" i="3"/>
  <c r="R44" i="3" s="1"/>
  <c r="M45" i="3"/>
  <c r="S45" i="3" s="1"/>
  <c r="M46" i="3"/>
  <c r="R46" i="3" s="1"/>
  <c r="M47" i="3"/>
  <c r="S47" i="3" s="1"/>
  <c r="M48" i="3"/>
  <c r="R48" i="3" s="1"/>
  <c r="M49" i="3"/>
  <c r="R49" i="3" s="1"/>
  <c r="M50" i="3"/>
  <c r="R50" i="3" s="1"/>
  <c r="M51" i="3"/>
  <c r="R51" i="3" s="1"/>
  <c r="M53" i="3"/>
  <c r="R53" i="3" s="1"/>
  <c r="M54" i="3"/>
  <c r="S54" i="3" s="1"/>
  <c r="M55" i="3"/>
  <c r="R55" i="3" s="1"/>
  <c r="M56" i="3"/>
  <c r="S56" i="3" s="1"/>
  <c r="M57" i="3"/>
  <c r="R57" i="3" s="1"/>
  <c r="M58" i="3"/>
  <c r="R58" i="3" s="1"/>
  <c r="M59" i="3"/>
  <c r="R59" i="3" s="1"/>
  <c r="M60" i="3"/>
  <c r="S60" i="3" s="1"/>
  <c r="M61" i="3"/>
  <c r="R61" i="3" s="1"/>
  <c r="M62" i="3"/>
  <c r="S62" i="3" s="1"/>
  <c r="M63" i="3"/>
  <c r="R63" i="3" s="1"/>
  <c r="M64" i="3"/>
  <c r="S64" i="3" s="1"/>
  <c r="M65" i="3"/>
  <c r="R65" i="3" s="1"/>
  <c r="M66" i="3"/>
  <c r="R66" i="3" s="1"/>
  <c r="M67" i="3"/>
  <c r="R67" i="3" s="1"/>
  <c r="M68" i="3"/>
  <c r="R68" i="3" s="1"/>
  <c r="M69" i="3"/>
  <c r="R69" i="3" s="1"/>
  <c r="M70" i="3"/>
  <c r="S70" i="3" s="1"/>
  <c r="M71" i="3"/>
  <c r="R71" i="3" s="1"/>
  <c r="M72" i="3"/>
  <c r="S72" i="3" s="1"/>
  <c r="M73" i="3"/>
  <c r="R73" i="3" s="1"/>
  <c r="M74" i="3"/>
  <c r="R74" i="3" s="1"/>
  <c r="M75" i="3"/>
  <c r="R75" i="3" s="1"/>
  <c r="M76" i="3"/>
  <c r="S76" i="3" s="1"/>
  <c r="M4" i="3"/>
  <c r="R4" i="3" s="1"/>
  <c r="M5" i="3"/>
  <c r="S5" i="3" s="1"/>
  <c r="M6" i="3"/>
  <c r="M7" i="3"/>
  <c r="R7" i="3" s="1"/>
  <c r="M8" i="3"/>
  <c r="R8" i="3" s="1"/>
  <c r="M9" i="3"/>
  <c r="R9" i="3" s="1"/>
  <c r="M10" i="3"/>
  <c r="R10" i="3" s="1"/>
  <c r="M11" i="3"/>
  <c r="S11" i="3" s="1"/>
  <c r="M12" i="3"/>
  <c r="R12" i="3" s="1"/>
  <c r="M13" i="3"/>
  <c r="R13" i="3" s="1"/>
  <c r="M14" i="3"/>
  <c r="S14" i="3" s="1"/>
  <c r="M15" i="3"/>
  <c r="R15" i="3" s="1"/>
  <c r="M16" i="3"/>
  <c r="S16" i="3" s="1"/>
  <c r="M17" i="3"/>
  <c r="R17" i="3" s="1"/>
  <c r="M18" i="3"/>
  <c r="R18" i="3" s="1"/>
  <c r="M19" i="3"/>
  <c r="S19" i="3" s="1"/>
  <c r="M20" i="3"/>
  <c r="R20" i="3" s="1"/>
  <c r="M21" i="3"/>
  <c r="R21" i="3" s="1"/>
  <c r="M22" i="3"/>
  <c r="S22" i="3" s="1"/>
  <c r="M23" i="3"/>
  <c r="R23" i="3" s="1"/>
  <c r="M24" i="3"/>
  <c r="R24" i="3" s="1"/>
  <c r="M25" i="3"/>
  <c r="R25" i="3" s="1"/>
  <c r="M26" i="3"/>
  <c r="R26" i="3" s="1"/>
  <c r="L28" i="3"/>
  <c r="P28" i="3" s="1"/>
  <c r="L29" i="3"/>
  <c r="Q29" i="3" s="1"/>
  <c r="L30" i="3"/>
  <c r="Q30" i="3" s="1"/>
  <c r="L31" i="3"/>
  <c r="P31" i="3" s="1"/>
  <c r="L32" i="3"/>
  <c r="P32" i="3" s="1"/>
  <c r="L33" i="3"/>
  <c r="P33" i="3" s="1"/>
  <c r="L34" i="3"/>
  <c r="P34" i="3" s="1"/>
  <c r="L35" i="3"/>
  <c r="P35" i="3" s="1"/>
  <c r="L36" i="3"/>
  <c r="P36" i="3" s="1"/>
  <c r="L37" i="3"/>
  <c r="P37" i="3" s="1"/>
  <c r="L38" i="3"/>
  <c r="Q38" i="3" s="1"/>
  <c r="L39" i="3"/>
  <c r="P39" i="3" s="1"/>
  <c r="L40" i="3"/>
  <c r="P40" i="3" s="1"/>
  <c r="L41" i="3"/>
  <c r="P41" i="3" s="1"/>
  <c r="L42" i="3"/>
  <c r="P42" i="3" s="1"/>
  <c r="L43" i="3"/>
  <c r="P43" i="3" s="1"/>
  <c r="L44" i="3"/>
  <c r="P44" i="3" s="1"/>
  <c r="L45" i="3"/>
  <c r="P45" i="3" s="1"/>
  <c r="L46" i="3"/>
  <c r="Q46" i="3" s="1"/>
  <c r="L47" i="3"/>
  <c r="P47" i="3" s="1"/>
  <c r="L48" i="3"/>
  <c r="P48" i="3" s="1"/>
  <c r="L49" i="3"/>
  <c r="P49" i="3" s="1"/>
  <c r="L50" i="3"/>
  <c r="P50" i="3" s="1"/>
  <c r="L51" i="3"/>
  <c r="P51" i="3" s="1"/>
  <c r="L53" i="3"/>
  <c r="P53" i="3" s="1"/>
  <c r="L54" i="3"/>
  <c r="P54" i="3" s="1"/>
  <c r="L55" i="3"/>
  <c r="P55" i="3" s="1"/>
  <c r="L56" i="3"/>
  <c r="P56" i="3" s="1"/>
  <c r="L57" i="3"/>
  <c r="P57" i="3" s="1"/>
  <c r="L58" i="3"/>
  <c r="P58" i="3" s="1"/>
  <c r="L59" i="3"/>
  <c r="P59" i="3" s="1"/>
  <c r="L60" i="3"/>
  <c r="P60" i="3" s="1"/>
  <c r="L61" i="3"/>
  <c r="P61" i="3" s="1"/>
  <c r="L62" i="3"/>
  <c r="P62" i="3" s="1"/>
  <c r="L63" i="3"/>
  <c r="Q63" i="3" s="1"/>
  <c r="L64" i="3"/>
  <c r="Q64" i="3" s="1"/>
  <c r="L65" i="3"/>
  <c r="P65" i="3" s="1"/>
  <c r="L66" i="3"/>
  <c r="P66" i="3" s="1"/>
  <c r="L67" i="3"/>
  <c r="P67" i="3" s="1"/>
  <c r="L68" i="3"/>
  <c r="P68" i="3" s="1"/>
  <c r="L69" i="3"/>
  <c r="P69" i="3" s="1"/>
  <c r="L70" i="3"/>
  <c r="P70" i="3" s="1"/>
  <c r="L71" i="3"/>
  <c r="P71" i="3" s="1"/>
  <c r="L72" i="3"/>
  <c r="Q72" i="3" s="1"/>
  <c r="L73" i="3"/>
  <c r="P73" i="3" s="1"/>
  <c r="L74" i="3"/>
  <c r="P74" i="3" s="1"/>
  <c r="L75" i="3"/>
  <c r="P75" i="3" s="1"/>
  <c r="L76" i="3"/>
  <c r="P76" i="3" s="1"/>
  <c r="L4" i="3"/>
  <c r="Q4" i="3" s="1"/>
  <c r="L5" i="3"/>
  <c r="L6" i="3"/>
  <c r="L7" i="3"/>
  <c r="P7" i="3" s="1"/>
  <c r="L8" i="3"/>
  <c r="P8" i="3" s="1"/>
  <c r="L9" i="3"/>
  <c r="P9" i="3" s="1"/>
  <c r="L10" i="3"/>
  <c r="P10" i="3" s="1"/>
  <c r="L11" i="3"/>
  <c r="P11" i="3" s="1"/>
  <c r="L12" i="3"/>
  <c r="P12" i="3" s="1"/>
  <c r="L13" i="3"/>
  <c r="Q13" i="3" s="1"/>
  <c r="L14" i="3"/>
  <c r="P14" i="3" s="1"/>
  <c r="L15" i="3"/>
  <c r="P15" i="3" s="1"/>
  <c r="L16" i="3"/>
  <c r="P16" i="3" s="1"/>
  <c r="L17" i="3"/>
  <c r="P17" i="3" s="1"/>
  <c r="L18" i="3"/>
  <c r="P18" i="3" s="1"/>
  <c r="L19" i="3"/>
  <c r="P19" i="3" s="1"/>
  <c r="L20" i="3"/>
  <c r="P20" i="3" s="1"/>
  <c r="L21" i="3"/>
  <c r="Q21" i="3" s="1"/>
  <c r="L22" i="3"/>
  <c r="P22" i="3" s="1"/>
  <c r="L23" i="3"/>
  <c r="P23" i="3" s="1"/>
  <c r="L24" i="3"/>
  <c r="P24" i="3" s="1"/>
  <c r="L25" i="3"/>
  <c r="P25" i="3" s="1"/>
  <c r="L26" i="3"/>
  <c r="P26" i="3" s="1"/>
  <c r="A4" i="3"/>
  <c r="N4" i="3" s="1"/>
  <c r="A5" i="3"/>
  <c r="N5" i="3" s="1"/>
  <c r="A6" i="3"/>
  <c r="N6" i="3" s="1"/>
  <c r="A7" i="3"/>
  <c r="N7" i="3" s="1"/>
  <c r="A8" i="3"/>
  <c r="N8" i="3" s="1"/>
  <c r="A9" i="3"/>
  <c r="N9" i="3" s="1"/>
  <c r="A10" i="3"/>
  <c r="N10" i="3" s="1"/>
  <c r="A11" i="3"/>
  <c r="N11" i="3" s="1"/>
  <c r="A12" i="3"/>
  <c r="N12" i="3" s="1"/>
  <c r="A13" i="3"/>
  <c r="N13" i="3" s="1"/>
  <c r="A14" i="3"/>
  <c r="N14" i="3" s="1"/>
  <c r="A15" i="3"/>
  <c r="N15" i="3" s="1"/>
  <c r="A16" i="3"/>
  <c r="N16" i="3" s="1"/>
  <c r="A17" i="3"/>
  <c r="N17" i="3" s="1"/>
  <c r="A18" i="3"/>
  <c r="N18" i="3" s="1"/>
  <c r="A19" i="3"/>
  <c r="N19" i="3" s="1"/>
  <c r="A20" i="3"/>
  <c r="N20" i="3" s="1"/>
  <c r="A21" i="3"/>
  <c r="N21" i="3" s="1"/>
  <c r="A22" i="3"/>
  <c r="N22" i="3" s="1"/>
  <c r="A23" i="3"/>
  <c r="N23" i="3" s="1"/>
  <c r="A24" i="3"/>
  <c r="N24" i="3" s="1"/>
  <c r="A25" i="3"/>
  <c r="N25" i="3" s="1"/>
  <c r="A26" i="3"/>
  <c r="N26" i="3" s="1"/>
  <c r="A28" i="3"/>
  <c r="N28" i="3" s="1"/>
  <c r="A29" i="3"/>
  <c r="N29" i="3" s="1"/>
  <c r="A30" i="3"/>
  <c r="N30" i="3" s="1"/>
  <c r="A31" i="3"/>
  <c r="N31" i="3" s="1"/>
  <c r="A32" i="3"/>
  <c r="N32" i="3" s="1"/>
  <c r="A33" i="3"/>
  <c r="N33" i="3" s="1"/>
  <c r="A34" i="3"/>
  <c r="N34" i="3" s="1"/>
  <c r="A35" i="3"/>
  <c r="N35" i="3" s="1"/>
  <c r="A36" i="3"/>
  <c r="N36" i="3" s="1"/>
  <c r="A37" i="3"/>
  <c r="N37" i="3" s="1"/>
  <c r="A38" i="3"/>
  <c r="N38" i="3" s="1"/>
  <c r="A39" i="3"/>
  <c r="N39" i="3" s="1"/>
  <c r="A40" i="3"/>
  <c r="N40" i="3" s="1"/>
  <c r="A41" i="3"/>
  <c r="N41" i="3" s="1"/>
  <c r="A42" i="3"/>
  <c r="N42" i="3" s="1"/>
  <c r="A43" i="3"/>
  <c r="N43" i="3" s="1"/>
  <c r="A44" i="3"/>
  <c r="N44" i="3" s="1"/>
  <c r="A45" i="3"/>
  <c r="N45" i="3" s="1"/>
  <c r="A46" i="3"/>
  <c r="N46" i="3" s="1"/>
  <c r="A47" i="3"/>
  <c r="N47" i="3" s="1"/>
  <c r="A48" i="3"/>
  <c r="N48" i="3" s="1"/>
  <c r="A49" i="3"/>
  <c r="O49" i="3" s="1"/>
  <c r="A50" i="3"/>
  <c r="O50" i="3" s="1"/>
  <c r="A51" i="3"/>
  <c r="N51" i="3" s="1"/>
  <c r="A53" i="3"/>
  <c r="N53" i="3" s="1"/>
  <c r="A54" i="3"/>
  <c r="N54" i="3" s="1"/>
  <c r="A55" i="3"/>
  <c r="N55" i="3" s="1"/>
  <c r="A56" i="3"/>
  <c r="N56" i="3" s="1"/>
  <c r="A57" i="3"/>
  <c r="N57" i="3" s="1"/>
  <c r="A58" i="3"/>
  <c r="N58" i="3" s="1"/>
  <c r="A59" i="3"/>
  <c r="N59" i="3" s="1"/>
  <c r="A60" i="3"/>
  <c r="N60" i="3" s="1"/>
  <c r="A61" i="3"/>
  <c r="N61" i="3" s="1"/>
  <c r="A62" i="3"/>
  <c r="N62" i="3" s="1"/>
  <c r="A63" i="3"/>
  <c r="N63" i="3" s="1"/>
  <c r="A64" i="3"/>
  <c r="N64" i="3" s="1"/>
  <c r="A65" i="3"/>
  <c r="N65" i="3" s="1"/>
  <c r="A66" i="3"/>
  <c r="N66" i="3" s="1"/>
  <c r="A67" i="3"/>
  <c r="N67" i="3" s="1"/>
  <c r="A68" i="3"/>
  <c r="N68" i="3" s="1"/>
  <c r="A69" i="3"/>
  <c r="N69" i="3" s="1"/>
  <c r="A70" i="3"/>
  <c r="N70" i="3" s="1"/>
  <c r="A71" i="3"/>
  <c r="N71" i="3" s="1"/>
  <c r="A72" i="3"/>
  <c r="N72" i="3" s="1"/>
  <c r="A73" i="3"/>
  <c r="N73" i="3" s="1"/>
  <c r="A74" i="3"/>
  <c r="O74" i="3" s="1"/>
  <c r="A75" i="3"/>
  <c r="N75" i="3" s="1"/>
  <c r="A76" i="3"/>
  <c r="N76" i="3" s="1"/>
  <c r="A3" i="3"/>
  <c r="Y16" i="3" l="1"/>
  <c r="Y40" i="3"/>
  <c r="V72" i="3"/>
  <c r="V39" i="3"/>
  <c r="Y69" i="3"/>
  <c r="Y53" i="3"/>
  <c r="Y36" i="3"/>
  <c r="Y17" i="3"/>
  <c r="V23" i="3"/>
  <c r="Y10" i="3"/>
  <c r="Y67" i="3"/>
  <c r="Y50" i="3"/>
  <c r="Y34" i="3"/>
  <c r="R45" i="3"/>
  <c r="Y49" i="3"/>
  <c r="R43" i="3"/>
  <c r="V67" i="3"/>
  <c r="V34" i="3"/>
  <c r="Y24" i="3"/>
  <c r="S41" i="3"/>
  <c r="V58" i="3"/>
  <c r="V54" i="3"/>
  <c r="V51" i="3"/>
  <c r="V33" i="3"/>
  <c r="V16" i="3"/>
  <c r="Y23" i="3"/>
  <c r="Y7" i="3"/>
  <c r="S38" i="3"/>
  <c r="Y55" i="3"/>
  <c r="V64" i="3"/>
  <c r="Y20" i="3"/>
  <c r="Y61" i="3"/>
  <c r="Y28" i="3"/>
  <c r="V43" i="3"/>
  <c r="Y19" i="3"/>
  <c r="Q55" i="3"/>
  <c r="V61" i="3"/>
  <c r="V44" i="3"/>
  <c r="Q54" i="3"/>
  <c r="Y54" i="3" s="1"/>
  <c r="Q5" i="3"/>
  <c r="P5" i="3"/>
  <c r="Y5" i="3" s="1"/>
  <c r="S21" i="3"/>
  <c r="Q23" i="3"/>
  <c r="S6" i="3"/>
  <c r="R6" i="3"/>
  <c r="O3" i="3"/>
  <c r="Q22" i="3"/>
  <c r="Y22" i="3" s="1"/>
  <c r="R19" i="3"/>
  <c r="Q7" i="3"/>
  <c r="S17" i="3"/>
  <c r="Q40" i="3"/>
  <c r="S66" i="3"/>
  <c r="Q39" i="3"/>
  <c r="Y39" i="3" s="1"/>
  <c r="S63" i="3"/>
  <c r="R16" i="3"/>
  <c r="Q37" i="3"/>
  <c r="Y37" i="3" s="1"/>
  <c r="R62" i="3"/>
  <c r="P6" i="3"/>
  <c r="Y6" i="3" s="1"/>
  <c r="Q6" i="3"/>
  <c r="Q33" i="3"/>
  <c r="Y33" i="3" s="1"/>
  <c r="S55" i="3"/>
  <c r="Q32" i="3"/>
  <c r="Y32" i="3" s="1"/>
  <c r="Q31" i="3"/>
  <c r="Y31" i="3" s="1"/>
  <c r="S46" i="3"/>
  <c r="S67" i="3"/>
  <c r="Q24" i="3"/>
  <c r="R60" i="3"/>
  <c r="S13" i="3"/>
  <c r="Q14" i="3"/>
  <c r="Y14" i="3" s="1"/>
  <c r="Q73" i="3"/>
  <c r="Y73" i="3" s="1"/>
  <c r="S58" i="3"/>
  <c r="R37" i="3"/>
  <c r="Q15" i="3"/>
  <c r="Y15" i="3" s="1"/>
  <c r="Q12" i="3"/>
  <c r="Y12" i="3" s="1"/>
  <c r="Q71" i="3"/>
  <c r="Y71" i="3" s="1"/>
  <c r="S34" i="3"/>
  <c r="R11" i="3"/>
  <c r="Q70" i="3"/>
  <c r="Y70" i="3" s="1"/>
  <c r="S9" i="3"/>
  <c r="Q66" i="3"/>
  <c r="Y66" i="3" s="1"/>
  <c r="R76" i="3"/>
  <c r="S33" i="3"/>
  <c r="Q16" i="3"/>
  <c r="Q49" i="3"/>
  <c r="Q65" i="3"/>
  <c r="Y65" i="3" s="1"/>
  <c r="S74" i="3"/>
  <c r="R54" i="3"/>
  <c r="R5" i="3"/>
  <c r="Q48" i="3"/>
  <c r="Y48" i="3" s="1"/>
  <c r="S50" i="3"/>
  <c r="S30" i="3"/>
  <c r="Q47" i="3"/>
  <c r="Y47" i="3" s="1"/>
  <c r="S71" i="3"/>
  <c r="R29" i="3"/>
  <c r="Q57" i="3"/>
  <c r="Y57" i="3" s="1"/>
  <c r="S49" i="3"/>
  <c r="S25" i="3"/>
  <c r="R70" i="3"/>
  <c r="R72" i="3"/>
  <c r="R64" i="3"/>
  <c r="R56" i="3"/>
  <c r="R47" i="3"/>
  <c r="R39" i="3"/>
  <c r="R31" i="3"/>
  <c r="R22" i="3"/>
  <c r="R14" i="3"/>
  <c r="S20" i="3"/>
  <c r="S12" i="3"/>
  <c r="S4" i="3"/>
  <c r="Q45" i="3"/>
  <c r="Y45" i="3" s="1"/>
  <c r="Q62" i="3"/>
  <c r="Y62" i="3" s="1"/>
  <c r="Q11" i="3"/>
  <c r="Y11" i="3" s="1"/>
  <c r="Q44" i="3"/>
  <c r="Y44" i="3" s="1"/>
  <c r="Q53" i="3"/>
  <c r="Q61" i="3"/>
  <c r="S69" i="3"/>
  <c r="S61" i="3"/>
  <c r="S53" i="3"/>
  <c r="S44" i="3"/>
  <c r="S36" i="3"/>
  <c r="S28" i="3"/>
  <c r="Q26" i="3"/>
  <c r="Y26" i="3" s="1"/>
  <c r="Q10" i="3"/>
  <c r="Q43" i="3"/>
  <c r="Y43" i="3" s="1"/>
  <c r="Q76" i="3"/>
  <c r="Y76" i="3" s="1"/>
  <c r="Q60" i="3"/>
  <c r="Y60" i="3" s="1"/>
  <c r="Q25" i="3"/>
  <c r="Y25" i="3" s="1"/>
  <c r="Q9" i="3"/>
  <c r="Y9" i="3" s="1"/>
  <c r="Q42" i="3"/>
  <c r="Y42" i="3" s="1"/>
  <c r="Q75" i="3"/>
  <c r="Y75" i="3" s="1"/>
  <c r="Q59" i="3"/>
  <c r="Y59" i="3" s="1"/>
  <c r="S68" i="3"/>
  <c r="S51" i="3"/>
  <c r="S35" i="3"/>
  <c r="S26" i="3"/>
  <c r="S18" i="3"/>
  <c r="S10" i="3"/>
  <c r="P4" i="3"/>
  <c r="Y4" i="3" s="1"/>
  <c r="N74" i="3"/>
  <c r="Q8" i="3"/>
  <c r="Y8" i="3" s="1"/>
  <c r="Q41" i="3"/>
  <c r="Y41" i="3" s="1"/>
  <c r="Q74" i="3"/>
  <c r="Y74" i="3" s="1"/>
  <c r="Q58" i="3"/>
  <c r="Y58" i="3" s="1"/>
  <c r="O73" i="3"/>
  <c r="V73" i="3" s="1"/>
  <c r="S75" i="3"/>
  <c r="S59" i="3"/>
  <c r="S42" i="3"/>
  <c r="N50" i="3"/>
  <c r="V50" i="3" s="1"/>
  <c r="Q56" i="3"/>
  <c r="Y56" i="3" s="1"/>
  <c r="S24" i="3"/>
  <c r="S8" i="3"/>
  <c r="Q69" i="3"/>
  <c r="S73" i="3"/>
  <c r="S65" i="3"/>
  <c r="S57" i="3"/>
  <c r="S48" i="3"/>
  <c r="S40" i="3"/>
  <c r="S32" i="3"/>
  <c r="S23" i="3"/>
  <c r="S15" i="3"/>
  <c r="S7" i="3"/>
  <c r="Q20" i="3"/>
  <c r="Q19" i="3"/>
  <c r="Q36" i="3"/>
  <c r="Q18" i="3"/>
  <c r="Y18" i="3" s="1"/>
  <c r="Q51" i="3"/>
  <c r="Y51" i="3" s="1"/>
  <c r="Q35" i="3"/>
  <c r="Y35" i="3" s="1"/>
  <c r="Q68" i="3"/>
  <c r="Y68" i="3" s="1"/>
  <c r="Q28" i="3"/>
  <c r="Q17" i="3"/>
  <c r="Q50" i="3"/>
  <c r="Q34" i="3"/>
  <c r="Q67" i="3"/>
  <c r="N49" i="3"/>
  <c r="O42" i="3"/>
  <c r="V42" i="3" s="1"/>
  <c r="O41" i="3"/>
  <c r="V41" i="3" s="1"/>
  <c r="O40" i="3"/>
  <c r="V40" i="3" s="1"/>
  <c r="P13" i="3"/>
  <c r="Y13" i="3" s="1"/>
  <c r="O23" i="3"/>
  <c r="P38" i="3"/>
  <c r="Y38" i="3" s="1"/>
  <c r="O17" i="3"/>
  <c r="V17" i="3" s="1"/>
  <c r="O16" i="3"/>
  <c r="O75" i="3"/>
  <c r="V75" i="3" s="1"/>
  <c r="O9" i="3"/>
  <c r="V9" i="3" s="1"/>
  <c r="P30" i="3"/>
  <c r="Y30" i="3" s="1"/>
  <c r="O8" i="3"/>
  <c r="V8" i="3" s="1"/>
  <c r="P72" i="3"/>
  <c r="Y72" i="3" s="1"/>
  <c r="P21" i="3"/>
  <c r="Y21" i="3" s="1"/>
  <c r="O67" i="3"/>
  <c r="O66" i="3"/>
  <c r="V66" i="3" s="1"/>
  <c r="O34" i="3"/>
  <c r="O7" i="3"/>
  <c r="V7" i="3" s="1"/>
  <c r="O59" i="3"/>
  <c r="V59" i="3" s="1"/>
  <c r="O33" i="3"/>
  <c r="P64" i="3"/>
  <c r="Y64" i="3" s="1"/>
  <c r="O58" i="3"/>
  <c r="O25" i="3"/>
  <c r="V25" i="3" s="1"/>
  <c r="O57" i="3"/>
  <c r="V57" i="3" s="1"/>
  <c r="O24" i="3"/>
  <c r="V24" i="3" s="1"/>
  <c r="P46" i="3"/>
  <c r="Y46" i="3" s="1"/>
  <c r="O65" i="3"/>
  <c r="V65" i="3" s="1"/>
  <c r="O48" i="3"/>
  <c r="V48" i="3" s="1"/>
  <c r="O32" i="3"/>
  <c r="V32" i="3" s="1"/>
  <c r="O15" i="3"/>
  <c r="V15" i="3" s="1"/>
  <c r="P29" i="3"/>
  <c r="Y29" i="3" s="1"/>
  <c r="O72" i="3"/>
  <c r="O64" i="3"/>
  <c r="O56" i="3"/>
  <c r="V56" i="3" s="1"/>
  <c r="O47" i="3"/>
  <c r="V47" i="3" s="1"/>
  <c r="O39" i="3"/>
  <c r="O31" i="3"/>
  <c r="V31" i="3" s="1"/>
  <c r="O22" i="3"/>
  <c r="V22" i="3" s="1"/>
  <c r="O14" i="3"/>
  <c r="V14" i="3" s="1"/>
  <c r="O6" i="3"/>
  <c r="V6" i="3" s="1"/>
  <c r="P63" i="3"/>
  <c r="Y63" i="3" s="1"/>
  <c r="O71" i="3"/>
  <c r="V71" i="3" s="1"/>
  <c r="O63" i="3"/>
  <c r="V63" i="3" s="1"/>
  <c r="O55" i="3"/>
  <c r="V55" i="3" s="1"/>
  <c r="O46" i="3"/>
  <c r="V46" i="3" s="1"/>
  <c r="O38" i="3"/>
  <c r="V38" i="3" s="1"/>
  <c r="O30" i="3"/>
  <c r="V30" i="3" s="1"/>
  <c r="O21" i="3"/>
  <c r="V21" i="3" s="1"/>
  <c r="O13" i="3"/>
  <c r="V13" i="3" s="1"/>
  <c r="O5" i="3"/>
  <c r="V5" i="3" s="1"/>
  <c r="O70" i="3"/>
  <c r="V70" i="3" s="1"/>
  <c r="O62" i="3"/>
  <c r="V62" i="3" s="1"/>
  <c r="O54" i="3"/>
  <c r="O45" i="3"/>
  <c r="V45" i="3" s="1"/>
  <c r="O37" i="3"/>
  <c r="V37" i="3" s="1"/>
  <c r="O29" i="3"/>
  <c r="V29" i="3" s="1"/>
  <c r="O20" i="3"/>
  <c r="V20" i="3" s="1"/>
  <c r="O12" i="3"/>
  <c r="V12" i="3" s="1"/>
  <c r="O4" i="3"/>
  <c r="V4" i="3" s="1"/>
  <c r="O69" i="3"/>
  <c r="V69" i="3" s="1"/>
  <c r="O61" i="3"/>
  <c r="O53" i="3"/>
  <c r="V53" i="3" s="1"/>
  <c r="O44" i="3"/>
  <c r="O36" i="3"/>
  <c r="V36" i="3" s="1"/>
  <c r="O28" i="3"/>
  <c r="V28" i="3" s="1"/>
  <c r="O19" i="3"/>
  <c r="V19" i="3" s="1"/>
  <c r="O11" i="3"/>
  <c r="V11" i="3" s="1"/>
  <c r="O76" i="3"/>
  <c r="V76" i="3" s="1"/>
  <c r="O68" i="3"/>
  <c r="V68" i="3" s="1"/>
  <c r="O60" i="3"/>
  <c r="V60" i="3" s="1"/>
  <c r="O51" i="3"/>
  <c r="O43" i="3"/>
  <c r="O35" i="3"/>
  <c r="V35" i="3" s="1"/>
  <c r="O26" i="3"/>
  <c r="V26" i="3" s="1"/>
  <c r="O18" i="3"/>
  <c r="V18" i="3" s="1"/>
  <c r="O10" i="3"/>
  <c r="V10" i="3" s="1"/>
  <c r="Y52" i="3" l="1"/>
  <c r="T81" i="3" s="1"/>
  <c r="T27" i="3"/>
  <c r="V3" i="3"/>
  <c r="V27" i="3" s="1"/>
  <c r="N80" i="3" s="1"/>
  <c r="T77" i="3"/>
  <c r="V74" i="3"/>
  <c r="V77" i="3" s="1"/>
  <c r="N82" i="3" s="1"/>
  <c r="T52" i="3"/>
  <c r="V49" i="3"/>
  <c r="V52" i="3" s="1"/>
  <c r="N81" i="3" s="1"/>
  <c r="Y27" i="3"/>
  <c r="T80" i="3" s="1"/>
  <c r="T83" i="3" s="1"/>
  <c r="Y77" i="3"/>
  <c r="T82" i="3" s="1"/>
  <c r="Z27" i="3"/>
  <c r="Z52" i="3"/>
  <c r="Z77" i="3"/>
  <c r="AA27" i="3"/>
  <c r="AA52" i="3"/>
  <c r="W27" i="3"/>
  <c r="AA77" i="3"/>
  <c r="W52" i="3"/>
  <c r="R81" i="3" s="1"/>
  <c r="X27" i="3"/>
  <c r="W77" i="3"/>
  <c r="U27" i="3"/>
  <c r="X52" i="3"/>
  <c r="V81" i="3" s="1"/>
  <c r="U77" i="3"/>
  <c r="X77" i="3"/>
  <c r="U52" i="3"/>
  <c r="P80" i="3" l="1"/>
  <c r="V82" i="3"/>
  <c r="P82" i="3"/>
  <c r="L81" i="3"/>
  <c r="L82" i="3"/>
  <c r="R82" i="3"/>
  <c r="N83" i="3"/>
  <c r="V80" i="3"/>
  <c r="V83" i="3" s="1"/>
  <c r="L80" i="3"/>
  <c r="L83" i="3" s="1"/>
  <c r="P81" i="3"/>
  <c r="P83" i="3" s="1"/>
  <c r="R80" i="3"/>
  <c r="R83" i="3" s="1"/>
</calcChain>
</file>

<file path=xl/sharedStrings.xml><?xml version="1.0" encoding="utf-8"?>
<sst xmlns="http://schemas.openxmlformats.org/spreadsheetml/2006/main" count="283" uniqueCount="177">
  <si>
    <t>Best</t>
  </si>
  <si>
    <t>Best</t>
    <phoneticPr fontId="1" type="noConversion"/>
  </si>
  <si>
    <t>Avg</t>
    <phoneticPr fontId="1" type="noConversion"/>
  </si>
  <si>
    <t>E</t>
    <phoneticPr fontId="1" type="noConversion"/>
  </si>
  <si>
    <t>MVND</t>
    <phoneticPr fontId="1" type="noConversion"/>
  </si>
  <si>
    <t>SimHGS</t>
  </si>
  <si>
    <t>AvgV</t>
  </si>
  <si>
    <t>AvgT</t>
  </si>
  <si>
    <t>10x3A</t>
  </si>
  <si>
    <t>10x4A</t>
  </si>
  <si>
    <t>15x3A</t>
  </si>
  <si>
    <t>15x4A</t>
  </si>
  <si>
    <t>20x3A</t>
  </si>
  <si>
    <t>20x4A</t>
  </si>
  <si>
    <t>25x3A</t>
  </si>
  <si>
    <t>25x5A</t>
  </si>
  <si>
    <t>28x3A</t>
  </si>
  <si>
    <t>28x5A</t>
  </si>
  <si>
    <t>30x6A</t>
  </si>
  <si>
    <t>30x8A</t>
  </si>
  <si>
    <t>35x6A</t>
  </si>
  <si>
    <t>35x8A</t>
  </si>
  <si>
    <t>40x6A</t>
  </si>
  <si>
    <t>40x8A</t>
  </si>
  <si>
    <t>50x6A</t>
  </si>
  <si>
    <t>50x8A</t>
  </si>
  <si>
    <t>60x8A</t>
  </si>
  <si>
    <t>60x10A</t>
  </si>
  <si>
    <t>80x8A</t>
  </si>
  <si>
    <t>80x10A</t>
  </si>
  <si>
    <t>100x10A</t>
  </si>
  <si>
    <t>100x15A</t>
  </si>
  <si>
    <t>10x3B</t>
  </si>
  <si>
    <t>10x4B</t>
  </si>
  <si>
    <t>15x3B</t>
  </si>
  <si>
    <t>15x4B</t>
  </si>
  <si>
    <t>20x3B</t>
  </si>
  <si>
    <t>20x4B</t>
  </si>
  <si>
    <t>25x3B</t>
  </si>
  <si>
    <t>25x5B</t>
  </si>
  <si>
    <t>28x3B</t>
  </si>
  <si>
    <t>28x5B</t>
  </si>
  <si>
    <t>30x6B</t>
  </si>
  <si>
    <t>30x8B</t>
  </si>
  <si>
    <t>35x6B</t>
  </si>
  <si>
    <t>35x8B</t>
  </si>
  <si>
    <t>40x6B</t>
  </si>
  <si>
    <t>40x8B</t>
  </si>
  <si>
    <t>50x6B</t>
  </si>
  <si>
    <t>50x8B</t>
  </si>
  <si>
    <t>60x8B</t>
  </si>
  <si>
    <t>60x10B</t>
  </si>
  <si>
    <t>80x8B</t>
  </si>
  <si>
    <t>80x10B</t>
  </si>
  <si>
    <t>100x10B</t>
  </si>
  <si>
    <t>100x15B</t>
  </si>
  <si>
    <t>10x3C</t>
  </si>
  <si>
    <t>10x4C</t>
  </si>
  <si>
    <t>15x3C</t>
  </si>
  <si>
    <t>15x4C</t>
  </si>
  <si>
    <t>20x3C</t>
  </si>
  <si>
    <t>20x4C</t>
  </si>
  <si>
    <t>25x3C</t>
  </si>
  <si>
    <t>25x5C</t>
  </si>
  <si>
    <t>28x3C</t>
  </si>
  <si>
    <t>28x5C</t>
  </si>
  <si>
    <t>30x6C</t>
  </si>
  <si>
    <t>30x8C</t>
  </si>
  <si>
    <t>35x6C</t>
  </si>
  <si>
    <t>35x8C</t>
  </si>
  <si>
    <t>40x6C</t>
  </si>
  <si>
    <t>40x8C</t>
  </si>
  <si>
    <t>50x6C</t>
  </si>
  <si>
    <t>50x8C</t>
  </si>
  <si>
    <t>60x8C</t>
  </si>
  <si>
    <t>60x10C</t>
  </si>
  <si>
    <t>80x8C</t>
  </si>
  <si>
    <t>80x10C</t>
  </si>
  <si>
    <t>100x10C</t>
  </si>
  <si>
    <t>100x15C</t>
  </si>
  <si>
    <t>Instance Name</t>
  </si>
  <si>
    <t>TDSP10_3_10_3_M</t>
  </si>
  <si>
    <t>TDSP10_4_10_4_M</t>
  </si>
  <si>
    <t>TDSP15_3_15_3_M</t>
  </si>
  <si>
    <t>TDSP15_4_15_4_M</t>
  </si>
  <si>
    <t>TDSP20_3_20_3_M</t>
  </si>
  <si>
    <t>TDSP20_4_20_4_M</t>
  </si>
  <si>
    <t>TDSP25_3_25_3_M</t>
  </si>
  <si>
    <t>TDSP25_5_25_5_M</t>
  </si>
  <si>
    <t>TDSP28_3_28_3_M</t>
  </si>
  <si>
    <t>TDSP28_5_28_5_M</t>
  </si>
  <si>
    <t>TDSP30_6_30_6_M</t>
  </si>
  <si>
    <t>TDSP30_8_30_8_M</t>
  </si>
  <si>
    <t>TDSP35_6_35_6_M</t>
  </si>
  <si>
    <t>TDSP35_8_35_8_M</t>
  </si>
  <si>
    <t>TDSP40_6_40_6_M</t>
  </si>
  <si>
    <t>TDSP40_8_40_8_M</t>
  </si>
  <si>
    <t>TDSP50_6_50_6_M</t>
  </si>
  <si>
    <t>TDSP50_8_50_8_M</t>
  </si>
  <si>
    <t>TDSP60_8_60_8_M</t>
  </si>
  <si>
    <t>TDSP60_10_60_10_M</t>
  </si>
  <si>
    <t>TDSP80_8_80_8_M</t>
  </si>
  <si>
    <t>TDSP80_10_80_10_M</t>
  </si>
  <si>
    <t>TDSP100_10_100_10_M</t>
  </si>
  <si>
    <t>TDSP100_15_100_15_M</t>
  </si>
  <si>
    <t>TDSP10_3_10_3_MD</t>
  </si>
  <si>
    <t>TDSP10_4_10_4_MD</t>
  </si>
  <si>
    <t>TDSP15_3_15_3_MD</t>
  </si>
  <si>
    <t>TDSP15_4_15_4_MD</t>
  </si>
  <si>
    <t>TDSP20_3_20_3_MD</t>
  </si>
  <si>
    <t>TDSP20_4_20_4_MD</t>
  </si>
  <si>
    <t>TDSP25_3_25_3_MD</t>
  </si>
  <si>
    <t>TDSP25_5_25_5_MD</t>
  </si>
  <si>
    <t>TDSP28_3_28_3_MD</t>
  </si>
  <si>
    <t>TDSP28_5_28_5_MD</t>
  </si>
  <si>
    <t>TDSP30_6_30_6_MD</t>
  </si>
  <si>
    <t>TDSP30_8_30_8_MD</t>
  </si>
  <si>
    <t>TDSP35_6_35_6_MD</t>
  </si>
  <si>
    <t>TDSP35_8_35_8_MD</t>
  </si>
  <si>
    <t>TDSP40_6_40_6_MD</t>
  </si>
  <si>
    <t>TDSP40_8_40_8_MD</t>
  </si>
  <si>
    <t>TDSP50_6_50_6_MD</t>
  </si>
  <si>
    <t>TDSP50_8_50_8_MD</t>
  </si>
  <si>
    <t>TDSP60_8_60_8_MD</t>
  </si>
  <si>
    <t>TDSP60_10_60_10_MD</t>
  </si>
  <si>
    <t>TDSP80_8_80_8_MD</t>
  </si>
  <si>
    <t>TDSP80_10_80_10_MD</t>
  </si>
  <si>
    <t>TDSP100_10_100_10_MD</t>
  </si>
  <si>
    <t>TDSP100_15_100_15_MD</t>
  </si>
  <si>
    <t>TDSP10_3_10_3_X</t>
  </si>
  <si>
    <t>TDSP10_4_10_4_X</t>
  </si>
  <si>
    <t>TDSP15_3_15_3_X</t>
  </si>
  <si>
    <t>TDSP15_4_15_4_X</t>
  </si>
  <si>
    <t>TDSP20_3_20_3_X</t>
  </si>
  <si>
    <t>TDSP20_4_20_4_X</t>
  </si>
  <si>
    <t>TDSP25_3_25_3_X</t>
  </si>
  <si>
    <t>TDSP25_5_25_5_X</t>
  </si>
  <si>
    <t>TDSP28_3_28_3_X</t>
  </si>
  <si>
    <t>TDSP28_5_28_5_X</t>
  </si>
  <si>
    <t>TDSP30_6_30_6_X</t>
  </si>
  <si>
    <t>TDSP30_8_30_8_X</t>
  </si>
  <si>
    <t>TDSP35_6_35_6_X</t>
  </si>
  <si>
    <t>TDSP35_8_35_8_X</t>
  </si>
  <si>
    <t>TDSP40_6_40_6_X</t>
  </si>
  <si>
    <t>TDSP40_8_40_8_X</t>
  </si>
  <si>
    <t>TDSP50_6_50_6_X</t>
  </si>
  <si>
    <t>TDSP50_8_50_8_X</t>
  </si>
  <si>
    <t>TDSP60_8_60_8_X</t>
  </si>
  <si>
    <t>TDSP60_10_60_10_X</t>
  </si>
  <si>
    <t>TDSP80_8_80_8_X</t>
  </si>
  <si>
    <t>TDSP80_10_80_10_X</t>
  </si>
  <si>
    <t>TDSP100_10_100_10_X</t>
  </si>
  <si>
    <t>TDSP100_15_100_15_X</t>
  </si>
  <si>
    <t>Det</t>
  </si>
  <si>
    <t>EDD</t>
  </si>
  <si>
    <t>MAG</t>
  </si>
  <si>
    <t>SetA</t>
  </si>
  <si>
    <t>&amp;</t>
  </si>
  <si>
    <t>\\</t>
  </si>
  <si>
    <t>SetB</t>
  </si>
  <si>
    <t>SetC</t>
  </si>
  <si>
    <t>Total</t>
  </si>
  <si>
    <t>min Avg</t>
    <phoneticPr fontId="1" type="noConversion"/>
  </si>
  <si>
    <t>minE</t>
    <phoneticPr fontId="1" type="noConversion"/>
  </si>
  <si>
    <t>&amp;&amp;</t>
    <phoneticPr fontId="1" type="noConversion"/>
  </si>
  <si>
    <t>\hline</t>
  </si>
  <si>
    <t>{\em p}-value</t>
  </si>
  <si>
    <t>&amp;\multicolumn{3}{c}{</t>
  </si>
  <si>
    <t>}&amp; &amp;\multicolumn{3}{c}{</t>
  </si>
  <si>
    <t>}\\</t>
  </si>
  <si>
    <t>Best</t>
    <phoneticPr fontId="4" type="noConversion"/>
  </si>
  <si>
    <t>Avg</t>
    <phoneticPr fontId="4" type="noConversion"/>
  </si>
  <si>
    <t>t</t>
    <phoneticPr fontId="4" type="noConversion"/>
  </si>
  <si>
    <t>gap</t>
    <phoneticPr fontId="4" type="noConversion"/>
  </si>
  <si>
    <t>HGS</t>
    <phoneticPr fontId="4" type="noConversion"/>
  </si>
  <si>
    <t>MILP</t>
    <phoneticPr fontId="4" type="noConversion"/>
  </si>
  <si>
    <t>min Best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</si>
</sst>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11" fontId="5" fillId="0" borderId="0" xfId="0" applyNumberFormat="1" applyFont="1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03926-D58D-4096-8EA7-A835002FD5F3}">
  <dimension ref="A1:J73"/>
  <sheetViews>
    <sheetView topLeftCell="A34" workbookViewId="0">
      <selection activeCell="E82" sqref="E82"/>
    </sheetView>
  </sheetViews>
  <sheetFormatPr defaultRowHeight="14" x14ac:dyDescent="0.25"/>
  <cols>
    <col min="2" max="2" width="27.7265625" customWidth="1"/>
  </cols>
  <sheetData>
    <row r="1" spans="1:10" x14ac:dyDescent="0.25">
      <c r="A1" s="1" t="s">
        <v>1</v>
      </c>
      <c r="B1" t="s">
        <v>80</v>
      </c>
      <c r="C1" t="s">
        <v>5</v>
      </c>
      <c r="D1" t="s">
        <v>153</v>
      </c>
      <c r="E1" t="s">
        <v>154</v>
      </c>
      <c r="F1" t="s">
        <v>155</v>
      </c>
    </row>
    <row r="2" spans="1:10" x14ac:dyDescent="0.25">
      <c r="A2">
        <f>MIN(C2:F2)</f>
        <v>5443.3</v>
      </c>
      <c r="B2" t="s">
        <v>81</v>
      </c>
      <c r="C2">
        <v>5443.3</v>
      </c>
      <c r="D2">
        <v>6313.52</v>
      </c>
      <c r="E2">
        <v>10666.04</v>
      </c>
      <c r="F2">
        <v>10666.04</v>
      </c>
      <c r="H2">
        <f>(D2-$C2)/$C2*100</f>
        <v>15.986993184281598</v>
      </c>
      <c r="I2">
        <f>(E2-$C2)/$C2*100</f>
        <v>95.948046221960951</v>
      </c>
      <c r="J2">
        <f>(F2-$C2)/$C2*100</f>
        <v>95.948046221960951</v>
      </c>
    </row>
    <row r="3" spans="1:10" x14ac:dyDescent="0.25">
      <c r="A3">
        <f t="shared" ref="A3:A66" si="0">MIN(C3:F3)</f>
        <v>7528.4</v>
      </c>
      <c r="B3" t="s">
        <v>82</v>
      </c>
      <c r="C3">
        <v>7528.4</v>
      </c>
      <c r="D3">
        <v>8198.7900000000009</v>
      </c>
      <c r="E3">
        <v>12732.26</v>
      </c>
      <c r="F3">
        <v>12741.41</v>
      </c>
      <c r="H3">
        <f t="shared" ref="H3:H66" si="1">(D3-$C3)/$C3*100</f>
        <v>8.9048137718506091</v>
      </c>
      <c r="I3">
        <f t="shared" ref="I3:I66" si="2">(E3-$C3)/$C3*100</f>
        <v>69.123054035386005</v>
      </c>
      <c r="J3">
        <f t="shared" ref="J3:J66" si="3">(F3-$C3)/$C3*100</f>
        <v>69.244593804792515</v>
      </c>
    </row>
    <row r="4" spans="1:10" x14ac:dyDescent="0.25">
      <c r="A4">
        <f t="shared" si="0"/>
        <v>10019</v>
      </c>
      <c r="B4" t="s">
        <v>83</v>
      </c>
      <c r="C4">
        <v>10019</v>
      </c>
      <c r="D4">
        <v>10519.52</v>
      </c>
      <c r="E4">
        <v>25195</v>
      </c>
      <c r="F4">
        <v>25195</v>
      </c>
      <c r="H4">
        <f t="shared" si="1"/>
        <v>4.9957081545064428</v>
      </c>
      <c r="I4">
        <f t="shared" si="2"/>
        <v>151.47220281465218</v>
      </c>
      <c r="J4">
        <f t="shared" si="3"/>
        <v>151.47220281465218</v>
      </c>
    </row>
    <row r="5" spans="1:10" x14ac:dyDescent="0.25">
      <c r="A5">
        <f t="shared" si="0"/>
        <v>13227.1</v>
      </c>
      <c r="B5" t="s">
        <v>84</v>
      </c>
      <c r="C5">
        <v>13227.1</v>
      </c>
      <c r="D5">
        <v>14874.81</v>
      </c>
      <c r="E5">
        <v>25226.46</v>
      </c>
      <c r="F5">
        <v>25227.05</v>
      </c>
      <c r="H5">
        <f t="shared" si="1"/>
        <v>12.457076759077946</v>
      </c>
      <c r="I5">
        <f t="shared" si="2"/>
        <v>90.717995630183481</v>
      </c>
      <c r="J5">
        <f t="shared" si="3"/>
        <v>90.72245616953073</v>
      </c>
    </row>
    <row r="6" spans="1:10" x14ac:dyDescent="0.25">
      <c r="A6">
        <f t="shared" si="0"/>
        <v>17695</v>
      </c>
      <c r="B6" t="s">
        <v>85</v>
      </c>
      <c r="C6">
        <v>17695</v>
      </c>
      <c r="D6">
        <v>18625.060000000001</v>
      </c>
      <c r="E6">
        <v>39781.99</v>
      </c>
      <c r="F6">
        <v>39782</v>
      </c>
      <c r="H6">
        <f t="shared" si="1"/>
        <v>5.2560610341904566</v>
      </c>
      <c r="I6">
        <f t="shared" si="2"/>
        <v>124.82051426956767</v>
      </c>
      <c r="J6">
        <f t="shared" si="3"/>
        <v>124.82057078270698</v>
      </c>
    </row>
    <row r="7" spans="1:10" x14ac:dyDescent="0.25">
      <c r="A7">
        <f t="shared" si="0"/>
        <v>17794.8</v>
      </c>
      <c r="B7" t="s">
        <v>86</v>
      </c>
      <c r="C7">
        <v>17794.8</v>
      </c>
      <c r="D7">
        <v>18503.7</v>
      </c>
      <c r="E7">
        <v>33165.67</v>
      </c>
      <c r="F7">
        <v>33328.19</v>
      </c>
      <c r="H7">
        <f t="shared" si="1"/>
        <v>3.9837480612313794</v>
      </c>
      <c r="I7">
        <f t="shared" si="2"/>
        <v>86.378436397149727</v>
      </c>
      <c r="J7">
        <f t="shared" si="3"/>
        <v>87.291736911906867</v>
      </c>
    </row>
    <row r="8" spans="1:10" x14ac:dyDescent="0.25">
      <c r="A8">
        <f t="shared" si="0"/>
        <v>70465.899999999994</v>
      </c>
      <c r="B8" t="s">
        <v>87</v>
      </c>
      <c r="C8">
        <v>70465.899999999994</v>
      </c>
      <c r="D8">
        <v>71682.78</v>
      </c>
      <c r="E8">
        <v>78990.16</v>
      </c>
      <c r="F8">
        <v>79201.09</v>
      </c>
      <c r="H8">
        <f t="shared" si="1"/>
        <v>1.7269062056966629</v>
      </c>
      <c r="I8">
        <f t="shared" si="2"/>
        <v>12.097000109272727</v>
      </c>
      <c r="J8">
        <f t="shared" si="3"/>
        <v>12.396336383981478</v>
      </c>
    </row>
    <row r="9" spans="1:10" x14ac:dyDescent="0.25">
      <c r="A9">
        <f t="shared" si="0"/>
        <v>35227.199999999997</v>
      </c>
      <c r="B9" t="s">
        <v>88</v>
      </c>
      <c r="C9">
        <v>35227.199999999997</v>
      </c>
      <c r="D9">
        <v>37947.21</v>
      </c>
      <c r="E9">
        <v>66410.89</v>
      </c>
      <c r="F9">
        <v>66425.53</v>
      </c>
      <c r="H9">
        <f t="shared" si="1"/>
        <v>7.7213346504973499</v>
      </c>
      <c r="I9">
        <f t="shared" si="2"/>
        <v>88.521625334968448</v>
      </c>
      <c r="J9">
        <f t="shared" si="3"/>
        <v>88.563184130444668</v>
      </c>
    </row>
    <row r="10" spans="1:10" x14ac:dyDescent="0.25">
      <c r="A10">
        <f t="shared" si="0"/>
        <v>65050.5</v>
      </c>
      <c r="B10" t="s">
        <v>89</v>
      </c>
      <c r="C10">
        <v>65050.5</v>
      </c>
      <c r="D10">
        <v>65488.7</v>
      </c>
      <c r="E10">
        <v>95453.53</v>
      </c>
      <c r="F10">
        <v>98236.94</v>
      </c>
      <c r="H10">
        <f t="shared" si="1"/>
        <v>0.6736304870831078</v>
      </c>
      <c r="I10">
        <f t="shared" si="2"/>
        <v>46.737580802607205</v>
      </c>
      <c r="J10">
        <f t="shared" si="3"/>
        <v>51.016425700033054</v>
      </c>
    </row>
    <row r="11" spans="1:10" x14ac:dyDescent="0.25">
      <c r="A11">
        <f t="shared" si="0"/>
        <v>63297</v>
      </c>
      <c r="B11" t="s">
        <v>90</v>
      </c>
      <c r="C11">
        <v>63297</v>
      </c>
      <c r="D11">
        <v>66590.94</v>
      </c>
      <c r="E11">
        <v>98118.64</v>
      </c>
      <c r="F11">
        <v>98116.02</v>
      </c>
      <c r="H11">
        <f t="shared" si="1"/>
        <v>5.2039433148490488</v>
      </c>
      <c r="I11">
        <f t="shared" si="2"/>
        <v>55.013096987218979</v>
      </c>
      <c r="J11">
        <f t="shared" si="3"/>
        <v>55.008957770510456</v>
      </c>
    </row>
    <row r="12" spans="1:10" x14ac:dyDescent="0.25">
      <c r="A12">
        <f t="shared" si="0"/>
        <v>53200.2</v>
      </c>
      <c r="B12" t="s">
        <v>91</v>
      </c>
      <c r="C12">
        <v>53200.2</v>
      </c>
      <c r="D12">
        <v>56258.79</v>
      </c>
      <c r="E12">
        <v>88933.119999999995</v>
      </c>
      <c r="F12">
        <v>89269.11</v>
      </c>
      <c r="H12">
        <f t="shared" si="1"/>
        <v>5.7492077097454599</v>
      </c>
      <c r="I12">
        <f t="shared" si="2"/>
        <v>67.166890350036283</v>
      </c>
      <c r="J12">
        <f t="shared" si="3"/>
        <v>67.798448126134872</v>
      </c>
    </row>
    <row r="13" spans="1:10" x14ac:dyDescent="0.25">
      <c r="A13">
        <f t="shared" si="0"/>
        <v>61362.3</v>
      </c>
      <c r="B13" t="s">
        <v>92</v>
      </c>
      <c r="C13">
        <v>61362.3</v>
      </c>
      <c r="D13">
        <v>65925.350000000006</v>
      </c>
      <c r="E13">
        <v>89212.43</v>
      </c>
      <c r="F13">
        <v>89386.18</v>
      </c>
      <c r="H13">
        <f t="shared" si="1"/>
        <v>7.4362434263383266</v>
      </c>
      <c r="I13">
        <f t="shared" si="2"/>
        <v>45.386385451653524</v>
      </c>
      <c r="J13">
        <f t="shared" si="3"/>
        <v>45.669539766273409</v>
      </c>
    </row>
    <row r="14" spans="1:10" x14ac:dyDescent="0.25">
      <c r="A14">
        <f t="shared" si="0"/>
        <v>88276.9</v>
      </c>
      <c r="B14" t="s">
        <v>93</v>
      </c>
      <c r="C14">
        <v>88276.9</v>
      </c>
      <c r="D14">
        <v>92189.22</v>
      </c>
      <c r="E14">
        <v>123951.21</v>
      </c>
      <c r="F14">
        <v>124613.47</v>
      </c>
      <c r="H14">
        <f t="shared" si="1"/>
        <v>4.431872890869534</v>
      </c>
      <c r="I14">
        <f t="shared" si="2"/>
        <v>40.411829142165182</v>
      </c>
      <c r="J14">
        <f t="shared" si="3"/>
        <v>41.162036727615046</v>
      </c>
    </row>
    <row r="15" spans="1:10" x14ac:dyDescent="0.25">
      <c r="A15">
        <f t="shared" si="0"/>
        <v>83429.3</v>
      </c>
      <c r="B15" t="s">
        <v>94</v>
      </c>
      <c r="C15">
        <v>83429.3</v>
      </c>
      <c r="D15">
        <v>86942</v>
      </c>
      <c r="E15">
        <v>129839.38</v>
      </c>
      <c r="F15">
        <v>129820.87</v>
      </c>
      <c r="H15">
        <f t="shared" si="1"/>
        <v>4.2103913133635267</v>
      </c>
      <c r="I15">
        <f t="shared" si="2"/>
        <v>55.628034755175939</v>
      </c>
      <c r="J15">
        <f t="shared" si="3"/>
        <v>55.60584830509184</v>
      </c>
    </row>
    <row r="16" spans="1:10" x14ac:dyDescent="0.25">
      <c r="A16">
        <f t="shared" si="0"/>
        <v>107293.3</v>
      </c>
      <c r="B16" t="s">
        <v>95</v>
      </c>
      <c r="C16">
        <v>107293.3</v>
      </c>
      <c r="D16">
        <v>113355.12</v>
      </c>
      <c r="E16">
        <v>192173.44</v>
      </c>
      <c r="F16">
        <v>193013.48</v>
      </c>
      <c r="H16">
        <f t="shared" si="1"/>
        <v>5.6497656424026408</v>
      </c>
      <c r="I16">
        <f t="shared" si="2"/>
        <v>79.110382474954164</v>
      </c>
      <c r="J16">
        <f t="shared" si="3"/>
        <v>79.893320458966215</v>
      </c>
    </row>
    <row r="17" spans="1:10" x14ac:dyDescent="0.25">
      <c r="A17">
        <f t="shared" si="0"/>
        <v>118657</v>
      </c>
      <c r="B17" t="s">
        <v>96</v>
      </c>
      <c r="C17">
        <v>118657</v>
      </c>
      <c r="D17">
        <v>125697.04</v>
      </c>
      <c r="E17">
        <v>177611.02</v>
      </c>
      <c r="F17">
        <v>177516.11</v>
      </c>
      <c r="H17">
        <f t="shared" si="1"/>
        <v>5.9331012919591712</v>
      </c>
      <c r="I17">
        <f t="shared" si="2"/>
        <v>49.684401257405788</v>
      </c>
      <c r="J17">
        <f t="shared" si="3"/>
        <v>49.60441440454418</v>
      </c>
    </row>
    <row r="18" spans="1:10" x14ac:dyDescent="0.25">
      <c r="A18">
        <f t="shared" si="0"/>
        <v>259652.1</v>
      </c>
      <c r="B18" t="s">
        <v>97</v>
      </c>
      <c r="C18">
        <v>259652.1</v>
      </c>
      <c r="D18">
        <v>262941.28999999998</v>
      </c>
      <c r="E18">
        <v>325548.2</v>
      </c>
      <c r="F18">
        <v>325536.55</v>
      </c>
      <c r="H18">
        <f t="shared" si="1"/>
        <v>1.2667681100980785</v>
      </c>
      <c r="I18">
        <f t="shared" si="2"/>
        <v>25.378612381721545</v>
      </c>
      <c r="J18">
        <f t="shared" si="3"/>
        <v>25.374125608843517</v>
      </c>
    </row>
    <row r="19" spans="1:10" x14ac:dyDescent="0.25">
      <c r="A19">
        <f t="shared" si="0"/>
        <v>168355.20000000001</v>
      </c>
      <c r="B19" t="s">
        <v>98</v>
      </c>
      <c r="C19">
        <v>168355.20000000001</v>
      </c>
      <c r="D19">
        <v>175422.71</v>
      </c>
      <c r="E19">
        <v>262451.13</v>
      </c>
      <c r="F19">
        <v>262791.56</v>
      </c>
      <c r="H19">
        <f t="shared" si="1"/>
        <v>4.197975470909113</v>
      </c>
      <c r="I19">
        <f t="shared" si="2"/>
        <v>55.891311940468711</v>
      </c>
      <c r="J19">
        <f t="shared" si="3"/>
        <v>56.093521316834874</v>
      </c>
    </row>
    <row r="20" spans="1:10" x14ac:dyDescent="0.25">
      <c r="A20">
        <f t="shared" si="0"/>
        <v>256202</v>
      </c>
      <c r="B20" t="s">
        <v>99</v>
      </c>
      <c r="C20">
        <v>256202</v>
      </c>
      <c r="D20">
        <v>266562.88</v>
      </c>
      <c r="E20">
        <v>418612.47</v>
      </c>
      <c r="F20">
        <v>418634.86</v>
      </c>
      <c r="H20">
        <f t="shared" si="1"/>
        <v>4.0440277593461431</v>
      </c>
      <c r="I20">
        <f t="shared" si="2"/>
        <v>63.391569933099653</v>
      </c>
      <c r="J20">
        <f t="shared" si="3"/>
        <v>63.400309131076263</v>
      </c>
    </row>
    <row r="21" spans="1:10" x14ac:dyDescent="0.25">
      <c r="A21">
        <f t="shared" si="0"/>
        <v>258447.2</v>
      </c>
      <c r="B21" t="s">
        <v>100</v>
      </c>
      <c r="C21">
        <v>258447.2</v>
      </c>
      <c r="D21">
        <v>270504.81</v>
      </c>
      <c r="E21">
        <v>379437.46</v>
      </c>
      <c r="F21">
        <v>379246.59</v>
      </c>
      <c r="H21">
        <f t="shared" si="1"/>
        <v>4.6654055451171397</v>
      </c>
      <c r="I21">
        <f t="shared" si="2"/>
        <v>46.814304817386301</v>
      </c>
      <c r="J21">
        <f t="shared" si="3"/>
        <v>46.740452208420137</v>
      </c>
    </row>
    <row r="22" spans="1:10" x14ac:dyDescent="0.25">
      <c r="A22">
        <f t="shared" si="0"/>
        <v>554057.4</v>
      </c>
      <c r="B22" t="s">
        <v>101</v>
      </c>
      <c r="C22">
        <v>554057.4</v>
      </c>
      <c r="D22">
        <v>563753.96</v>
      </c>
      <c r="E22">
        <v>728722.49</v>
      </c>
      <c r="F22">
        <v>728813.61</v>
      </c>
      <c r="H22">
        <f t="shared" si="1"/>
        <v>1.7501002603701239</v>
      </c>
      <c r="I22">
        <f t="shared" si="2"/>
        <v>31.524728304323695</v>
      </c>
      <c r="J22">
        <f t="shared" si="3"/>
        <v>31.541174253786693</v>
      </c>
    </row>
    <row r="23" spans="1:10" x14ac:dyDescent="0.25">
      <c r="A23">
        <f t="shared" si="0"/>
        <v>373042.9</v>
      </c>
      <c r="B23" t="s">
        <v>102</v>
      </c>
      <c r="C23">
        <v>373042.9</v>
      </c>
      <c r="D23">
        <v>389986.27</v>
      </c>
      <c r="E23">
        <v>645020.6</v>
      </c>
      <c r="F23">
        <v>645002.99</v>
      </c>
      <c r="H23">
        <f t="shared" si="1"/>
        <v>4.5419360615092783</v>
      </c>
      <c r="I23">
        <f t="shared" si="2"/>
        <v>72.90788807399899</v>
      </c>
      <c r="J23">
        <f t="shared" si="3"/>
        <v>72.903167437310813</v>
      </c>
    </row>
    <row r="24" spans="1:10" x14ac:dyDescent="0.25">
      <c r="A24">
        <f t="shared" si="0"/>
        <v>773151.4</v>
      </c>
      <c r="B24" t="s">
        <v>103</v>
      </c>
      <c r="C24">
        <v>773151.4</v>
      </c>
      <c r="D24">
        <v>787493.22</v>
      </c>
      <c r="E24">
        <v>1168305.53</v>
      </c>
      <c r="F24">
        <v>1168150.67</v>
      </c>
      <c r="H24">
        <f t="shared" si="1"/>
        <v>1.8549820901831062</v>
      </c>
      <c r="I24">
        <f t="shared" si="2"/>
        <v>51.109540770410554</v>
      </c>
      <c r="J24">
        <f t="shared" si="3"/>
        <v>51.089511058248085</v>
      </c>
    </row>
    <row r="25" spans="1:10" x14ac:dyDescent="0.25">
      <c r="A25">
        <f t="shared" si="0"/>
        <v>749120</v>
      </c>
      <c r="B25" t="s">
        <v>104</v>
      </c>
      <c r="C25">
        <v>749120</v>
      </c>
      <c r="D25">
        <v>766072.5</v>
      </c>
      <c r="E25">
        <v>1034036.5</v>
      </c>
      <c r="F25">
        <v>1035686.27</v>
      </c>
      <c r="H25">
        <f t="shared" si="1"/>
        <v>2.2629885732592907</v>
      </c>
      <c r="I25">
        <f t="shared" si="2"/>
        <v>38.033492631354122</v>
      </c>
      <c r="J25">
        <f t="shared" si="3"/>
        <v>38.253720365228538</v>
      </c>
    </row>
    <row r="26" spans="1:10" x14ac:dyDescent="0.25">
      <c r="A26">
        <f t="shared" si="0"/>
        <v>17568.7</v>
      </c>
      <c r="B26" t="s">
        <v>105</v>
      </c>
      <c r="C26">
        <v>17568.7</v>
      </c>
      <c r="D26">
        <v>19333</v>
      </c>
      <c r="E26">
        <v>30740.37</v>
      </c>
      <c r="F26">
        <v>30740.5</v>
      </c>
      <c r="H26">
        <f t="shared" si="1"/>
        <v>10.042291120003183</v>
      </c>
      <c r="I26">
        <f t="shared" si="2"/>
        <v>74.972365627507997</v>
      </c>
      <c r="J26">
        <f t="shared" si="3"/>
        <v>74.973105579809541</v>
      </c>
    </row>
    <row r="27" spans="1:10" x14ac:dyDescent="0.25">
      <c r="A27">
        <f t="shared" si="0"/>
        <v>24549.1</v>
      </c>
      <c r="B27" t="s">
        <v>106</v>
      </c>
      <c r="C27">
        <v>24549.1</v>
      </c>
      <c r="D27">
        <v>25691.06</v>
      </c>
      <c r="E27">
        <v>36353.379999999997</v>
      </c>
      <c r="F27">
        <v>36372.620000000003</v>
      </c>
      <c r="H27">
        <f t="shared" si="1"/>
        <v>4.6517387602804297</v>
      </c>
      <c r="I27">
        <f t="shared" si="2"/>
        <v>48.084369691760593</v>
      </c>
      <c r="J27">
        <f t="shared" si="3"/>
        <v>48.162743237022966</v>
      </c>
    </row>
    <row r="28" spans="1:10" x14ac:dyDescent="0.25">
      <c r="A28">
        <f t="shared" si="0"/>
        <v>37788.199999999997</v>
      </c>
      <c r="B28" t="s">
        <v>107</v>
      </c>
      <c r="C28">
        <v>37788.199999999997</v>
      </c>
      <c r="D28">
        <v>40606.089999999997</v>
      </c>
      <c r="E28">
        <v>79478.78</v>
      </c>
      <c r="F28">
        <v>79481.95</v>
      </c>
      <c r="H28">
        <f t="shared" si="1"/>
        <v>7.4570633160616264</v>
      </c>
      <c r="I28">
        <f t="shared" si="2"/>
        <v>110.32698038011868</v>
      </c>
      <c r="J28">
        <f t="shared" si="3"/>
        <v>110.33536924225022</v>
      </c>
    </row>
    <row r="29" spans="1:10" x14ac:dyDescent="0.25">
      <c r="A29">
        <f t="shared" si="0"/>
        <v>50566.1</v>
      </c>
      <c r="B29" t="s">
        <v>108</v>
      </c>
      <c r="C29">
        <v>50566.1</v>
      </c>
      <c r="D29">
        <v>53756.08</v>
      </c>
      <c r="E29">
        <v>67886.8</v>
      </c>
      <c r="F29">
        <v>67844.31</v>
      </c>
      <c r="H29">
        <f t="shared" si="1"/>
        <v>6.308534769341521</v>
      </c>
      <c r="I29">
        <f t="shared" si="2"/>
        <v>34.253580956411518</v>
      </c>
      <c r="J29">
        <f t="shared" si="3"/>
        <v>34.169552328536312</v>
      </c>
    </row>
    <row r="30" spans="1:10" x14ac:dyDescent="0.25">
      <c r="A30">
        <f t="shared" si="0"/>
        <v>62481.1</v>
      </c>
      <c r="B30" t="s">
        <v>109</v>
      </c>
      <c r="C30">
        <v>62481.1</v>
      </c>
      <c r="D30">
        <v>65859.509999999995</v>
      </c>
      <c r="E30">
        <v>137616.23000000001</v>
      </c>
      <c r="F30">
        <v>137636.82999999999</v>
      </c>
      <c r="H30">
        <f t="shared" si="1"/>
        <v>5.4070911043499494</v>
      </c>
      <c r="I30">
        <f t="shared" si="2"/>
        <v>120.25257237788709</v>
      </c>
      <c r="J30">
        <f t="shared" si="3"/>
        <v>120.28554234800602</v>
      </c>
    </row>
    <row r="31" spans="1:10" x14ac:dyDescent="0.25">
      <c r="A31">
        <f t="shared" si="0"/>
        <v>67545.8</v>
      </c>
      <c r="B31" t="s">
        <v>110</v>
      </c>
      <c r="C31">
        <v>67545.8</v>
      </c>
      <c r="D31">
        <v>71612.710000000006</v>
      </c>
      <c r="E31">
        <v>101294.62</v>
      </c>
      <c r="F31">
        <v>101288.76</v>
      </c>
      <c r="H31">
        <f t="shared" si="1"/>
        <v>6.020966514572339</v>
      </c>
      <c r="I31">
        <f t="shared" si="2"/>
        <v>49.964350115033049</v>
      </c>
      <c r="J31">
        <f t="shared" si="3"/>
        <v>49.955674520103379</v>
      </c>
    </row>
    <row r="32" spans="1:10" x14ac:dyDescent="0.25">
      <c r="A32">
        <f t="shared" si="0"/>
        <v>241567.5</v>
      </c>
      <c r="B32" t="s">
        <v>111</v>
      </c>
      <c r="C32">
        <v>241567.5</v>
      </c>
      <c r="D32">
        <v>244203.12</v>
      </c>
      <c r="E32">
        <v>277556.94</v>
      </c>
      <c r="F32">
        <v>281094.98</v>
      </c>
      <c r="H32">
        <f t="shared" si="1"/>
        <v>1.0910490856592858</v>
      </c>
      <c r="I32">
        <f t="shared" si="2"/>
        <v>14.898295507466857</v>
      </c>
      <c r="J32">
        <f t="shared" si="3"/>
        <v>16.362913057427004</v>
      </c>
    </row>
    <row r="33" spans="1:10" x14ac:dyDescent="0.25">
      <c r="A33">
        <f t="shared" si="0"/>
        <v>114496.9</v>
      </c>
      <c r="B33" t="s">
        <v>112</v>
      </c>
      <c r="C33">
        <v>114496.9</v>
      </c>
      <c r="D33">
        <v>121638.94</v>
      </c>
      <c r="E33">
        <v>199407.45</v>
      </c>
      <c r="F33">
        <v>199687.37</v>
      </c>
      <c r="H33">
        <f t="shared" si="1"/>
        <v>6.2377584021925561</v>
      </c>
      <c r="I33">
        <f t="shared" si="2"/>
        <v>74.159693406546396</v>
      </c>
      <c r="J33">
        <f t="shared" si="3"/>
        <v>74.40417164132829</v>
      </c>
    </row>
    <row r="34" spans="1:10" x14ac:dyDescent="0.25">
      <c r="A34">
        <f t="shared" si="0"/>
        <v>241922.1</v>
      </c>
      <c r="B34" t="s">
        <v>113</v>
      </c>
      <c r="C34">
        <v>241922.1</v>
      </c>
      <c r="D34">
        <v>245320.43</v>
      </c>
      <c r="E34">
        <v>311237.65999999997</v>
      </c>
      <c r="F34">
        <v>321136.28999999998</v>
      </c>
      <c r="H34">
        <f t="shared" si="1"/>
        <v>1.4047207758199798</v>
      </c>
      <c r="I34">
        <f t="shared" si="2"/>
        <v>28.652016496219225</v>
      </c>
      <c r="J34">
        <f t="shared" si="3"/>
        <v>32.743676580188399</v>
      </c>
    </row>
    <row r="35" spans="1:10" x14ac:dyDescent="0.25">
      <c r="A35">
        <f t="shared" si="0"/>
        <v>195835.5</v>
      </c>
      <c r="B35" t="s">
        <v>114</v>
      </c>
      <c r="C35">
        <v>195835.5</v>
      </c>
      <c r="D35">
        <v>202343.72</v>
      </c>
      <c r="E35">
        <v>288642.61</v>
      </c>
      <c r="F35">
        <v>289406.95</v>
      </c>
      <c r="H35">
        <f t="shared" si="1"/>
        <v>3.3233096144468197</v>
      </c>
      <c r="I35">
        <f t="shared" si="2"/>
        <v>47.390340362191729</v>
      </c>
      <c r="J35">
        <f t="shared" si="3"/>
        <v>47.780637320608371</v>
      </c>
    </row>
    <row r="36" spans="1:10" x14ac:dyDescent="0.25">
      <c r="A36">
        <f t="shared" si="0"/>
        <v>194757.9</v>
      </c>
      <c r="B36" t="s">
        <v>115</v>
      </c>
      <c r="C36">
        <v>194757.9</v>
      </c>
      <c r="D36">
        <v>203747.94</v>
      </c>
      <c r="E36">
        <v>312095.09000000003</v>
      </c>
      <c r="F36">
        <v>312944.27</v>
      </c>
      <c r="H36">
        <f t="shared" si="1"/>
        <v>4.616007874391749</v>
      </c>
      <c r="I36">
        <f t="shared" si="2"/>
        <v>60.247717807596011</v>
      </c>
      <c r="J36">
        <f t="shared" si="3"/>
        <v>60.683736064108331</v>
      </c>
    </row>
    <row r="37" spans="1:10" x14ac:dyDescent="0.25">
      <c r="A37">
        <f t="shared" si="0"/>
        <v>201248.1</v>
      </c>
      <c r="B37" t="s">
        <v>116</v>
      </c>
      <c r="C37">
        <v>201248.1</v>
      </c>
      <c r="D37">
        <v>208962.5</v>
      </c>
      <c r="E37">
        <v>299755.73</v>
      </c>
      <c r="F37">
        <v>300480.31</v>
      </c>
      <c r="H37">
        <f t="shared" si="1"/>
        <v>3.8332784259826522</v>
      </c>
      <c r="I37">
        <f t="shared" si="2"/>
        <v>48.9483528043246</v>
      </c>
      <c r="J37">
        <f t="shared" si="3"/>
        <v>49.308395955042549</v>
      </c>
    </row>
    <row r="38" spans="1:10" x14ac:dyDescent="0.25">
      <c r="A38">
        <f t="shared" si="0"/>
        <v>305946.90000000002</v>
      </c>
      <c r="B38" t="s">
        <v>117</v>
      </c>
      <c r="C38">
        <v>305946.90000000002</v>
      </c>
      <c r="D38">
        <v>314570.98</v>
      </c>
      <c r="E38">
        <v>410079</v>
      </c>
      <c r="F38">
        <v>414272.45</v>
      </c>
      <c r="H38">
        <f t="shared" si="1"/>
        <v>2.8188159448583914</v>
      </c>
      <c r="I38">
        <f t="shared" si="2"/>
        <v>34.036004287018422</v>
      </c>
      <c r="J38">
        <f t="shared" si="3"/>
        <v>35.406650631204293</v>
      </c>
    </row>
    <row r="39" spans="1:10" x14ac:dyDescent="0.25">
      <c r="A39">
        <f t="shared" si="0"/>
        <v>268304.2</v>
      </c>
      <c r="B39" t="s">
        <v>118</v>
      </c>
      <c r="C39">
        <v>268304.2</v>
      </c>
      <c r="D39">
        <v>278460.56</v>
      </c>
      <c r="E39">
        <v>414985.76</v>
      </c>
      <c r="F39">
        <v>416707.62</v>
      </c>
      <c r="H39">
        <f t="shared" si="1"/>
        <v>3.785389867173151</v>
      </c>
      <c r="I39">
        <f t="shared" si="2"/>
        <v>54.669870989719868</v>
      </c>
      <c r="J39">
        <f t="shared" si="3"/>
        <v>55.311627622676042</v>
      </c>
    </row>
    <row r="40" spans="1:10" x14ac:dyDescent="0.25">
      <c r="A40">
        <f t="shared" si="0"/>
        <v>347537.3</v>
      </c>
      <c r="B40" t="s">
        <v>119</v>
      </c>
      <c r="C40">
        <v>347537.3</v>
      </c>
      <c r="D40">
        <v>357847.62</v>
      </c>
      <c r="E40">
        <v>581632.53</v>
      </c>
      <c r="F40">
        <v>590547.86</v>
      </c>
      <c r="H40">
        <f t="shared" si="1"/>
        <v>2.9666801232558369</v>
      </c>
      <c r="I40">
        <f t="shared" si="2"/>
        <v>67.358303698624582</v>
      </c>
      <c r="J40">
        <f t="shared" si="3"/>
        <v>69.923590935419028</v>
      </c>
    </row>
    <row r="41" spans="1:10" x14ac:dyDescent="0.25">
      <c r="A41">
        <f t="shared" si="0"/>
        <v>362944.5</v>
      </c>
      <c r="B41" t="s">
        <v>120</v>
      </c>
      <c r="C41">
        <v>362944.5</v>
      </c>
      <c r="D41">
        <v>376940.04</v>
      </c>
      <c r="E41">
        <v>550438.29</v>
      </c>
      <c r="F41">
        <v>553019.31999999995</v>
      </c>
      <c r="H41">
        <f t="shared" si="1"/>
        <v>3.8561102317296392</v>
      </c>
      <c r="I41">
        <f t="shared" si="2"/>
        <v>51.659080107289142</v>
      </c>
      <c r="J41">
        <f t="shared" si="3"/>
        <v>52.370216382945586</v>
      </c>
    </row>
    <row r="42" spans="1:10" x14ac:dyDescent="0.25">
      <c r="A42">
        <f t="shared" si="0"/>
        <v>831868.7</v>
      </c>
      <c r="B42" t="s">
        <v>121</v>
      </c>
      <c r="C42">
        <v>831868.7</v>
      </c>
      <c r="D42">
        <v>842649.68</v>
      </c>
      <c r="E42">
        <v>1054595.1299999999</v>
      </c>
      <c r="F42">
        <v>1054507.94</v>
      </c>
      <c r="H42">
        <f t="shared" si="1"/>
        <v>1.2959953896570575</v>
      </c>
      <c r="I42">
        <f t="shared" si="2"/>
        <v>26.774228913769676</v>
      </c>
      <c r="J42">
        <f t="shared" si="3"/>
        <v>26.763747692394247</v>
      </c>
    </row>
    <row r="43" spans="1:10" x14ac:dyDescent="0.25">
      <c r="A43">
        <f t="shared" si="0"/>
        <v>525345.19999999995</v>
      </c>
      <c r="B43" t="s">
        <v>122</v>
      </c>
      <c r="C43">
        <v>525345.19999999995</v>
      </c>
      <c r="D43">
        <v>539713.24</v>
      </c>
      <c r="E43">
        <v>855628.05</v>
      </c>
      <c r="F43">
        <v>855542.13</v>
      </c>
      <c r="H43">
        <f t="shared" si="1"/>
        <v>2.7349712151172292</v>
      </c>
      <c r="I43">
        <f t="shared" si="2"/>
        <v>62.869680735638234</v>
      </c>
      <c r="J43">
        <f t="shared" si="3"/>
        <v>62.853325775128447</v>
      </c>
    </row>
    <row r="44" spans="1:10" x14ac:dyDescent="0.25">
      <c r="A44">
        <f t="shared" si="0"/>
        <v>941083</v>
      </c>
      <c r="B44" t="s">
        <v>123</v>
      </c>
      <c r="C44">
        <v>941083</v>
      </c>
      <c r="D44">
        <v>955504.31</v>
      </c>
      <c r="E44">
        <v>1460428.29</v>
      </c>
      <c r="F44">
        <v>1460524.1</v>
      </c>
      <c r="H44">
        <f t="shared" si="1"/>
        <v>1.5324163756013078</v>
      </c>
      <c r="I44">
        <f t="shared" si="2"/>
        <v>55.185917713952968</v>
      </c>
      <c r="J44">
        <f t="shared" si="3"/>
        <v>55.196098537536017</v>
      </c>
    </row>
    <row r="45" spans="1:10" x14ac:dyDescent="0.25">
      <c r="A45">
        <f t="shared" si="0"/>
        <v>854579.7</v>
      </c>
      <c r="B45" t="s">
        <v>124</v>
      </c>
      <c r="C45">
        <v>854579.7</v>
      </c>
      <c r="D45">
        <v>870128.16</v>
      </c>
      <c r="E45">
        <v>1294061.8</v>
      </c>
      <c r="F45">
        <v>1293939.75</v>
      </c>
      <c r="H45">
        <f t="shared" si="1"/>
        <v>1.8194277256995552</v>
      </c>
      <c r="I45">
        <f t="shared" si="2"/>
        <v>51.426695485511772</v>
      </c>
      <c r="J45">
        <f t="shared" si="3"/>
        <v>51.412413611041785</v>
      </c>
    </row>
    <row r="46" spans="1:10" x14ac:dyDescent="0.25">
      <c r="A46">
        <f t="shared" si="0"/>
        <v>1821201.3</v>
      </c>
      <c r="B46" t="s">
        <v>125</v>
      </c>
      <c r="C46">
        <v>1821201.3</v>
      </c>
      <c r="D46">
        <v>1835036.53</v>
      </c>
      <c r="E46">
        <v>2533979.67</v>
      </c>
      <c r="F46">
        <v>2541657.62</v>
      </c>
      <c r="H46">
        <f t="shared" si="1"/>
        <v>0.75967604459759508</v>
      </c>
      <c r="I46">
        <f t="shared" si="2"/>
        <v>39.137813595894087</v>
      </c>
      <c r="J46">
        <f t="shared" si="3"/>
        <v>39.559400709850145</v>
      </c>
    </row>
    <row r="47" spans="1:10" x14ac:dyDescent="0.25">
      <c r="A47">
        <f t="shared" si="0"/>
        <v>1336938.5</v>
      </c>
      <c r="B47" t="s">
        <v>126</v>
      </c>
      <c r="C47">
        <v>1336938.5</v>
      </c>
      <c r="D47">
        <v>1353065.74</v>
      </c>
      <c r="E47">
        <v>2256883.62</v>
      </c>
      <c r="F47">
        <v>2256859.29</v>
      </c>
      <c r="H47">
        <f t="shared" si="1"/>
        <v>1.206281365971583</v>
      </c>
      <c r="I47">
        <f t="shared" si="2"/>
        <v>68.809830818695104</v>
      </c>
      <c r="J47">
        <f t="shared" si="3"/>
        <v>68.808010989286345</v>
      </c>
    </row>
    <row r="48" spans="1:10" x14ac:dyDescent="0.25">
      <c r="A48">
        <f t="shared" si="0"/>
        <v>2620083.7000000002</v>
      </c>
      <c r="B48" t="s">
        <v>127</v>
      </c>
      <c r="C48">
        <v>2620083.7000000002</v>
      </c>
      <c r="D48">
        <v>2636694.21</v>
      </c>
      <c r="E48">
        <v>3970654.91</v>
      </c>
      <c r="F48">
        <v>3982636.78</v>
      </c>
      <c r="H48">
        <f t="shared" si="1"/>
        <v>0.63396867817618863</v>
      </c>
      <c r="I48">
        <f t="shared" si="2"/>
        <v>51.54687272013485</v>
      </c>
      <c r="J48">
        <f t="shared" si="3"/>
        <v>52.004181393136392</v>
      </c>
    </row>
    <row r="49" spans="1:10" x14ac:dyDescent="0.25">
      <c r="A49">
        <f t="shared" si="0"/>
        <v>2525141.9</v>
      </c>
      <c r="B49" t="s">
        <v>128</v>
      </c>
      <c r="C49">
        <v>2525141.9</v>
      </c>
      <c r="D49">
        <v>2542573.34</v>
      </c>
      <c r="E49">
        <v>3579842.45</v>
      </c>
      <c r="F49">
        <v>3590604.75</v>
      </c>
      <c r="H49">
        <f t="shared" si="1"/>
        <v>0.69031526505500318</v>
      </c>
      <c r="I49">
        <f t="shared" si="2"/>
        <v>41.767971534589812</v>
      </c>
      <c r="J49">
        <f t="shared" si="3"/>
        <v>42.194177285640869</v>
      </c>
    </row>
    <row r="50" spans="1:10" x14ac:dyDescent="0.25">
      <c r="A50">
        <f t="shared" si="0"/>
        <v>51.2</v>
      </c>
      <c r="B50" t="s">
        <v>129</v>
      </c>
      <c r="C50">
        <v>51.2</v>
      </c>
      <c r="D50">
        <v>2868.64</v>
      </c>
      <c r="E50">
        <v>6972.4</v>
      </c>
      <c r="F50">
        <v>8135.93</v>
      </c>
      <c r="H50">
        <f t="shared" si="1"/>
        <v>5502.8125</v>
      </c>
      <c r="I50">
        <f t="shared" si="2"/>
        <v>13517.96875</v>
      </c>
      <c r="J50">
        <f t="shared" si="3"/>
        <v>15790.48828125</v>
      </c>
    </row>
    <row r="51" spans="1:10" x14ac:dyDescent="0.25">
      <c r="A51">
        <f t="shared" si="0"/>
        <v>23.2</v>
      </c>
      <c r="B51" t="s">
        <v>130</v>
      </c>
      <c r="C51">
        <v>23.2</v>
      </c>
      <c r="D51">
        <v>2011.45</v>
      </c>
      <c r="E51">
        <v>9853.7099999999991</v>
      </c>
      <c r="F51">
        <v>10493.83</v>
      </c>
      <c r="H51">
        <f t="shared" si="1"/>
        <v>8570.0431034482754</v>
      </c>
      <c r="I51">
        <f t="shared" si="2"/>
        <v>42372.887931034478</v>
      </c>
      <c r="J51">
        <f t="shared" si="3"/>
        <v>45132.025862068964</v>
      </c>
    </row>
    <row r="52" spans="1:10" x14ac:dyDescent="0.25">
      <c r="A52">
        <f t="shared" si="0"/>
        <v>8288.9</v>
      </c>
      <c r="B52" t="s">
        <v>131</v>
      </c>
      <c r="C52">
        <v>8288.9</v>
      </c>
      <c r="D52">
        <v>11603.7</v>
      </c>
      <c r="E52">
        <v>35690.71</v>
      </c>
      <c r="F52">
        <v>58595.68</v>
      </c>
      <c r="H52">
        <f t="shared" si="1"/>
        <v>39.990831111486465</v>
      </c>
      <c r="I52">
        <f t="shared" si="2"/>
        <v>330.58439599946917</v>
      </c>
      <c r="J52">
        <f t="shared" si="3"/>
        <v>606.917443810397</v>
      </c>
    </row>
    <row r="53" spans="1:10" x14ac:dyDescent="0.25">
      <c r="A53">
        <f t="shared" si="0"/>
        <v>353.4</v>
      </c>
      <c r="B53" t="s">
        <v>132</v>
      </c>
      <c r="C53">
        <v>353.4</v>
      </c>
      <c r="D53">
        <v>6039.45</v>
      </c>
      <c r="E53">
        <v>10129.91</v>
      </c>
      <c r="F53">
        <v>29394.89</v>
      </c>
      <c r="H53">
        <f t="shared" si="1"/>
        <v>1608.9558573853992</v>
      </c>
      <c r="I53">
        <f t="shared" si="2"/>
        <v>2766.4148273910582</v>
      </c>
      <c r="J53">
        <f t="shared" si="3"/>
        <v>8217.7391058290887</v>
      </c>
    </row>
    <row r="54" spans="1:10" x14ac:dyDescent="0.25">
      <c r="A54">
        <f t="shared" si="0"/>
        <v>29791.1</v>
      </c>
      <c r="B54" t="s">
        <v>133</v>
      </c>
      <c r="C54">
        <v>29791.1</v>
      </c>
      <c r="D54">
        <v>33662.22</v>
      </c>
      <c r="E54">
        <v>106371.87</v>
      </c>
      <c r="F54">
        <v>119077.49</v>
      </c>
      <c r="H54">
        <f t="shared" si="1"/>
        <v>12.994216393486655</v>
      </c>
      <c r="I54">
        <f t="shared" si="2"/>
        <v>257.05922238520895</v>
      </c>
      <c r="J54">
        <f t="shared" si="3"/>
        <v>299.70826857685694</v>
      </c>
    </row>
    <row r="55" spans="1:10" x14ac:dyDescent="0.25">
      <c r="A55">
        <f t="shared" si="0"/>
        <v>5193.2</v>
      </c>
      <c r="B55" t="s">
        <v>134</v>
      </c>
      <c r="C55">
        <v>5193.2</v>
      </c>
      <c r="D55">
        <v>8264.11</v>
      </c>
      <c r="E55">
        <v>43688.21</v>
      </c>
      <c r="F55">
        <v>88456.13</v>
      </c>
      <c r="H55">
        <f t="shared" si="1"/>
        <v>59.133289686513145</v>
      </c>
      <c r="I55">
        <f t="shared" si="2"/>
        <v>741.25799121928685</v>
      </c>
      <c r="J55">
        <f t="shared" si="3"/>
        <v>1603.3068243087114</v>
      </c>
    </row>
    <row r="56" spans="1:10" x14ac:dyDescent="0.25">
      <c r="A56">
        <f t="shared" si="0"/>
        <v>82390.3</v>
      </c>
      <c r="B56" t="s">
        <v>135</v>
      </c>
      <c r="C56">
        <v>82390.3</v>
      </c>
      <c r="D56">
        <v>86926.67</v>
      </c>
      <c r="E56">
        <v>202033.52</v>
      </c>
      <c r="F56">
        <v>259710.25</v>
      </c>
      <c r="H56">
        <f t="shared" si="1"/>
        <v>5.5059515501217922</v>
      </c>
      <c r="I56">
        <f t="shared" si="2"/>
        <v>145.21517702933474</v>
      </c>
      <c r="J56">
        <f t="shared" si="3"/>
        <v>215.21944937692911</v>
      </c>
    </row>
    <row r="57" spans="1:10" x14ac:dyDescent="0.25">
      <c r="A57">
        <f t="shared" si="0"/>
        <v>43829.2</v>
      </c>
      <c r="B57" t="s">
        <v>136</v>
      </c>
      <c r="C57">
        <v>43829.2</v>
      </c>
      <c r="D57">
        <v>50650.080000000002</v>
      </c>
      <c r="E57">
        <v>99691.22</v>
      </c>
      <c r="F57">
        <v>186190.37</v>
      </c>
      <c r="H57">
        <f t="shared" si="1"/>
        <v>15.562410447829315</v>
      </c>
      <c r="I57">
        <f t="shared" si="2"/>
        <v>127.4538891880299</v>
      </c>
      <c r="J57">
        <f t="shared" si="3"/>
        <v>324.80896297445537</v>
      </c>
    </row>
    <row r="58" spans="1:10" x14ac:dyDescent="0.25">
      <c r="A58">
        <f t="shared" si="0"/>
        <v>121631.9</v>
      </c>
      <c r="B58" t="s">
        <v>137</v>
      </c>
      <c r="C58">
        <v>121631.9</v>
      </c>
      <c r="D58">
        <v>133826.18</v>
      </c>
      <c r="E58">
        <v>225552.85</v>
      </c>
      <c r="F58">
        <v>358920.85</v>
      </c>
      <c r="H58">
        <f t="shared" si="1"/>
        <v>10.025560728723303</v>
      </c>
      <c r="I58">
        <f t="shared" si="2"/>
        <v>85.438893908588142</v>
      </c>
      <c r="J58">
        <f t="shared" si="3"/>
        <v>195.08776069435731</v>
      </c>
    </row>
    <row r="59" spans="1:10" x14ac:dyDescent="0.25">
      <c r="A59">
        <f t="shared" si="0"/>
        <v>42307.7</v>
      </c>
      <c r="B59" t="s">
        <v>138</v>
      </c>
      <c r="C59">
        <v>42307.7</v>
      </c>
      <c r="D59">
        <v>49763.22</v>
      </c>
      <c r="E59">
        <v>65799.95</v>
      </c>
      <c r="F59">
        <v>184374.2</v>
      </c>
      <c r="H59">
        <f t="shared" si="1"/>
        <v>17.622134977793653</v>
      </c>
      <c r="I59">
        <f t="shared" si="2"/>
        <v>55.527126267795225</v>
      </c>
      <c r="J59">
        <f t="shared" si="3"/>
        <v>335.79348440118468</v>
      </c>
    </row>
    <row r="60" spans="1:10" x14ac:dyDescent="0.25">
      <c r="A60">
        <f t="shared" si="0"/>
        <v>36448.9</v>
      </c>
      <c r="B60" t="s">
        <v>139</v>
      </c>
      <c r="C60">
        <v>36448.9</v>
      </c>
      <c r="D60">
        <v>43807.23</v>
      </c>
      <c r="E60">
        <v>55433.74</v>
      </c>
      <c r="F60">
        <v>190174.94</v>
      </c>
      <c r="H60">
        <f t="shared" si="1"/>
        <v>20.188071519305115</v>
      </c>
      <c r="I60">
        <f t="shared" si="2"/>
        <v>52.086180927270775</v>
      </c>
      <c r="J60">
        <f t="shared" si="3"/>
        <v>421.75769364781928</v>
      </c>
    </row>
    <row r="61" spans="1:10" x14ac:dyDescent="0.25">
      <c r="A61">
        <f t="shared" si="0"/>
        <v>35853.199999999997</v>
      </c>
      <c r="B61" t="s">
        <v>140</v>
      </c>
      <c r="C61">
        <v>35853.199999999997</v>
      </c>
      <c r="D61">
        <v>43562.73</v>
      </c>
      <c r="E61">
        <v>55270.93</v>
      </c>
      <c r="F61">
        <v>159872.67000000001</v>
      </c>
      <c r="H61">
        <f t="shared" si="1"/>
        <v>21.503045753238222</v>
      </c>
      <c r="I61">
        <f t="shared" si="2"/>
        <v>54.158987203373776</v>
      </c>
      <c r="J61">
        <f t="shared" si="3"/>
        <v>345.90906808876201</v>
      </c>
    </row>
    <row r="62" spans="1:10" x14ac:dyDescent="0.25">
      <c r="A62">
        <f t="shared" si="0"/>
        <v>119510.2</v>
      </c>
      <c r="B62" t="s">
        <v>141</v>
      </c>
      <c r="C62">
        <v>119510.2</v>
      </c>
      <c r="D62">
        <v>127353.69</v>
      </c>
      <c r="E62">
        <v>226657.5</v>
      </c>
      <c r="F62">
        <v>422246.18</v>
      </c>
      <c r="H62">
        <f t="shared" si="1"/>
        <v>6.5630297664969222</v>
      </c>
      <c r="I62">
        <f t="shared" si="2"/>
        <v>89.655359960907106</v>
      </c>
      <c r="J62">
        <f t="shared" si="3"/>
        <v>253.31392634268872</v>
      </c>
    </row>
    <row r="63" spans="1:10" x14ac:dyDescent="0.25">
      <c r="A63">
        <f t="shared" si="0"/>
        <v>114316.4</v>
      </c>
      <c r="B63" t="s">
        <v>142</v>
      </c>
      <c r="C63">
        <v>114316.4</v>
      </c>
      <c r="D63">
        <v>121244.26</v>
      </c>
      <c r="E63">
        <v>183546.86</v>
      </c>
      <c r="F63">
        <v>379591.47</v>
      </c>
      <c r="H63">
        <f t="shared" si="1"/>
        <v>6.060250322788332</v>
      </c>
      <c r="I63">
        <f t="shared" si="2"/>
        <v>60.560392034738662</v>
      </c>
      <c r="J63">
        <f t="shared" si="3"/>
        <v>232.05337991749212</v>
      </c>
    </row>
    <row r="64" spans="1:10" x14ac:dyDescent="0.25">
      <c r="A64">
        <f t="shared" si="0"/>
        <v>181231.9</v>
      </c>
      <c r="B64" t="s">
        <v>143</v>
      </c>
      <c r="C64">
        <v>181231.9</v>
      </c>
      <c r="D64">
        <v>190894.03</v>
      </c>
      <c r="E64">
        <v>338828.29</v>
      </c>
      <c r="F64">
        <v>651084.93999999994</v>
      </c>
      <c r="H64">
        <f t="shared" si="1"/>
        <v>5.3313627457417843</v>
      </c>
      <c r="I64">
        <f t="shared" si="2"/>
        <v>86.958416261154909</v>
      </c>
      <c r="J64">
        <f t="shared" si="3"/>
        <v>259.25515320426479</v>
      </c>
    </row>
    <row r="65" spans="1:10" x14ac:dyDescent="0.25">
      <c r="A65">
        <f t="shared" si="0"/>
        <v>180337.5</v>
      </c>
      <c r="B65" t="s">
        <v>144</v>
      </c>
      <c r="C65">
        <v>180337.5</v>
      </c>
      <c r="D65">
        <v>191505.58</v>
      </c>
      <c r="E65">
        <v>288954.18</v>
      </c>
      <c r="F65">
        <v>601167.26</v>
      </c>
      <c r="H65">
        <f t="shared" si="1"/>
        <v>6.1928772440562758</v>
      </c>
      <c r="I65">
        <f t="shared" si="2"/>
        <v>60.229669369931372</v>
      </c>
      <c r="J65">
        <f t="shared" si="3"/>
        <v>233.35676717266236</v>
      </c>
    </row>
    <row r="66" spans="1:10" x14ac:dyDescent="0.25">
      <c r="A66">
        <f t="shared" si="0"/>
        <v>425714.7</v>
      </c>
      <c r="B66" t="s">
        <v>145</v>
      </c>
      <c r="C66">
        <v>425714.7</v>
      </c>
      <c r="D66">
        <v>437632.7</v>
      </c>
      <c r="E66">
        <v>694774.39</v>
      </c>
      <c r="F66">
        <v>1105077.6200000001</v>
      </c>
      <c r="H66">
        <f t="shared" si="1"/>
        <v>2.7995274769699048</v>
      </c>
      <c r="I66">
        <f t="shared" si="2"/>
        <v>63.201879098842483</v>
      </c>
      <c r="J66">
        <f t="shared" si="3"/>
        <v>159.58173866206644</v>
      </c>
    </row>
    <row r="67" spans="1:10" x14ac:dyDescent="0.25">
      <c r="A67">
        <f t="shared" ref="A67:A73" si="4">MIN(C67:F67)</f>
        <v>417445.2</v>
      </c>
      <c r="B67" t="s">
        <v>146</v>
      </c>
      <c r="C67">
        <v>417445.2</v>
      </c>
      <c r="D67">
        <v>423862.1</v>
      </c>
      <c r="E67">
        <v>625228.24</v>
      </c>
      <c r="F67">
        <v>1027925.49</v>
      </c>
      <c r="H67">
        <f t="shared" ref="H67:H73" si="5">(D67-$C67)/$C67*100</f>
        <v>1.5371838028081206</v>
      </c>
      <c r="I67">
        <f t="shared" ref="I67:I73" si="6">(E67-$C67)/$C67*100</f>
        <v>49.774926145994726</v>
      </c>
      <c r="J67">
        <f t="shared" ref="J67:J73" si="7">(F67-$C67)/$C67*100</f>
        <v>146.24201931175637</v>
      </c>
    </row>
    <row r="68" spans="1:10" x14ac:dyDescent="0.25">
      <c r="A68">
        <f t="shared" si="4"/>
        <v>531943.30000000005</v>
      </c>
      <c r="B68" t="s">
        <v>147</v>
      </c>
      <c r="C68">
        <v>531943.30000000005</v>
      </c>
      <c r="D68">
        <v>549506.78</v>
      </c>
      <c r="E68">
        <v>850193.84</v>
      </c>
      <c r="F68">
        <v>1294207.0900000001</v>
      </c>
      <c r="H68">
        <f t="shared" si="5"/>
        <v>3.3017579129204147</v>
      </c>
      <c r="I68">
        <f t="shared" si="6"/>
        <v>59.82790647048283</v>
      </c>
      <c r="J68">
        <f t="shared" si="7"/>
        <v>143.29793983682094</v>
      </c>
    </row>
    <row r="69" spans="1:10" x14ac:dyDescent="0.25">
      <c r="A69">
        <f t="shared" si="4"/>
        <v>533136.6</v>
      </c>
      <c r="B69" t="s">
        <v>148</v>
      </c>
      <c r="C69">
        <v>533136.6</v>
      </c>
      <c r="D69">
        <v>540417.91</v>
      </c>
      <c r="E69">
        <v>860557.15</v>
      </c>
      <c r="F69">
        <v>1204272.42</v>
      </c>
      <c r="H69">
        <f t="shared" si="5"/>
        <v>1.3657494158157697</v>
      </c>
      <c r="I69">
        <f t="shared" si="6"/>
        <v>61.414007216912147</v>
      </c>
      <c r="J69">
        <f t="shared" si="7"/>
        <v>125.88440185873564</v>
      </c>
    </row>
    <row r="70" spans="1:10" x14ac:dyDescent="0.25">
      <c r="A70">
        <f t="shared" si="4"/>
        <v>1095927.7</v>
      </c>
      <c r="B70" t="s">
        <v>149</v>
      </c>
      <c r="C70">
        <v>1095927.7</v>
      </c>
      <c r="D70">
        <v>1110029.72</v>
      </c>
      <c r="E70">
        <v>1786347.52</v>
      </c>
      <c r="F70">
        <v>2744886.85</v>
      </c>
      <c r="H70">
        <f t="shared" si="5"/>
        <v>1.2867655411940058</v>
      </c>
      <c r="I70">
        <f t="shared" si="6"/>
        <v>62.998664966676188</v>
      </c>
      <c r="J70">
        <f t="shared" si="7"/>
        <v>150.46240276616788</v>
      </c>
    </row>
    <row r="71" spans="1:10" x14ac:dyDescent="0.25">
      <c r="A71">
        <f t="shared" si="4"/>
        <v>1098116.3999999999</v>
      </c>
      <c r="B71" t="s">
        <v>150</v>
      </c>
      <c r="C71">
        <v>1098116.3999999999</v>
      </c>
      <c r="D71">
        <v>1110949.8400000001</v>
      </c>
      <c r="E71">
        <v>1805124.93</v>
      </c>
      <c r="F71">
        <v>2584725.42</v>
      </c>
      <c r="H71">
        <f t="shared" si="5"/>
        <v>1.168677564600636</v>
      </c>
      <c r="I71">
        <f t="shared" si="6"/>
        <v>64.383751121465821</v>
      </c>
      <c r="J71">
        <f t="shared" si="7"/>
        <v>135.37809106575588</v>
      </c>
    </row>
    <row r="72" spans="1:10" x14ac:dyDescent="0.25">
      <c r="A72">
        <f t="shared" si="4"/>
        <v>2229970.4</v>
      </c>
      <c r="B72" t="s">
        <v>151</v>
      </c>
      <c r="C72">
        <v>2229970.4</v>
      </c>
      <c r="D72">
        <v>2248767.7799999998</v>
      </c>
      <c r="E72">
        <v>3357780.21</v>
      </c>
      <c r="F72">
        <v>4663249.3</v>
      </c>
      <c r="H72">
        <f t="shared" si="5"/>
        <v>0.84294302740520188</v>
      </c>
      <c r="I72">
        <f t="shared" si="6"/>
        <v>50.575102252478331</v>
      </c>
      <c r="J72">
        <f t="shared" si="7"/>
        <v>109.11709411030748</v>
      </c>
    </row>
    <row r="73" spans="1:10" x14ac:dyDescent="0.25">
      <c r="A73">
        <f t="shared" si="4"/>
        <v>2239764.5</v>
      </c>
      <c r="B73" t="s">
        <v>152</v>
      </c>
      <c r="C73">
        <v>2239764.5</v>
      </c>
      <c r="D73">
        <v>2257277.7999999998</v>
      </c>
      <c r="E73">
        <v>3435237.19</v>
      </c>
      <c r="F73">
        <v>4067405.81</v>
      </c>
      <c r="H73">
        <f t="shared" si="5"/>
        <v>0.78192595694769762</v>
      </c>
      <c r="I73">
        <f t="shared" si="6"/>
        <v>53.374928033728544</v>
      </c>
      <c r="J73">
        <f t="shared" si="7"/>
        <v>81.599708808671636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87"/>
  <sheetViews>
    <sheetView workbookViewId="0">
      <selection activeCell="M2" sqref="M2"/>
    </sheetView>
  </sheetViews>
  <sheetFormatPr defaultColWidth="9" defaultRowHeight="14" x14ac:dyDescent="0.25"/>
  <cols>
    <col min="6" max="6" width="10.54296875" customWidth="1"/>
    <col min="11" max="11" width="10.08984375" bestFit="1" customWidth="1"/>
  </cols>
  <sheetData>
    <row r="1" spans="1:27" x14ac:dyDescent="0.25">
      <c r="C1" s="6" t="s">
        <v>5</v>
      </c>
      <c r="D1" s="6"/>
      <c r="E1" s="6"/>
      <c r="H1" s="7" t="s">
        <v>4</v>
      </c>
      <c r="I1" s="6"/>
      <c r="J1" s="6"/>
      <c r="K1" s="6"/>
    </row>
    <row r="2" spans="1:27" x14ac:dyDescent="0.25">
      <c r="A2" s="1" t="s">
        <v>176</v>
      </c>
      <c r="C2" t="s">
        <v>0</v>
      </c>
      <c r="D2" t="s">
        <v>6</v>
      </c>
      <c r="E2" t="s">
        <v>7</v>
      </c>
      <c r="F2" s="1" t="s">
        <v>3</v>
      </c>
      <c r="H2" s="1" t="s">
        <v>1</v>
      </c>
      <c r="I2" s="1" t="s">
        <v>2</v>
      </c>
      <c r="J2" t="s">
        <v>7</v>
      </c>
      <c r="K2" s="1" t="s">
        <v>3</v>
      </c>
      <c r="L2" s="1" t="s">
        <v>162</v>
      </c>
      <c r="M2" s="1" t="s">
        <v>163</v>
      </c>
      <c r="T2" s="7" t="s">
        <v>1</v>
      </c>
      <c r="U2" s="6"/>
      <c r="V2" s="3"/>
      <c r="W2" s="7" t="s">
        <v>2</v>
      </c>
      <c r="X2" s="6"/>
      <c r="Y2" s="3"/>
      <c r="Z2" s="7" t="s">
        <v>3</v>
      </c>
      <c r="AA2" s="6"/>
    </row>
    <row r="3" spans="1:27" x14ac:dyDescent="0.25">
      <c r="A3">
        <f>MIN(C3,H3)</f>
        <v>5441.25</v>
      </c>
      <c r="B3" t="s">
        <v>8</v>
      </c>
      <c r="C3">
        <v>5441.25</v>
      </c>
      <c r="D3">
        <v>5441.25</v>
      </c>
      <c r="E3">
        <v>8.76</v>
      </c>
      <c r="F3">
        <v>5443.3</v>
      </c>
      <c r="H3">
        <v>5441.25</v>
      </c>
      <c r="I3">
        <v>5441.25</v>
      </c>
      <c r="J3">
        <v>6.81</v>
      </c>
      <c r="K3">
        <v>5443.3</v>
      </c>
      <c r="L3">
        <f>MIN(D3,I3)</f>
        <v>5441.25</v>
      </c>
      <c r="M3">
        <f>MIN(F3,K3)</f>
        <v>5443.3</v>
      </c>
      <c r="N3">
        <f>IF(C3&gt;$A3,0,1)</f>
        <v>1</v>
      </c>
      <c r="O3">
        <f>IF(H3&gt;$A3,0,1)</f>
        <v>1</v>
      </c>
      <c r="P3">
        <f>IF(D3&gt;$L3,0,1)</f>
        <v>1</v>
      </c>
      <c r="Q3">
        <f>IF(I3&gt;$L3,0,1)</f>
        <v>1</v>
      </c>
      <c r="R3">
        <f>IF(F3&gt;$M3,0,1)</f>
        <v>1</v>
      </c>
      <c r="S3">
        <f>IF(K3&gt;$M3,0,1)</f>
        <v>1</v>
      </c>
      <c r="V3" s="1">
        <f>IF(N3=O3,1,0)</f>
        <v>1</v>
      </c>
      <c r="Y3">
        <f>IF(P3=Q3,1,0)</f>
        <v>1</v>
      </c>
    </row>
    <row r="4" spans="1:27" x14ac:dyDescent="0.25">
      <c r="A4">
        <f t="shared" ref="A4:A67" si="0">MIN(C4,H4)</f>
        <v>7460.04</v>
      </c>
      <c r="B4" t="s">
        <v>9</v>
      </c>
      <c r="C4">
        <v>7533.59</v>
      </c>
      <c r="D4">
        <v>7533.59</v>
      </c>
      <c r="E4">
        <v>2.09</v>
      </c>
      <c r="F4">
        <v>7528.4</v>
      </c>
      <c r="H4">
        <v>7460.04</v>
      </c>
      <c r="I4">
        <v>7482.5</v>
      </c>
      <c r="J4">
        <v>562.33000000000004</v>
      </c>
      <c r="K4">
        <v>7473.1</v>
      </c>
      <c r="L4">
        <f t="shared" ref="L4:L67" si="1">MIN(D4,I4)</f>
        <v>7482.5</v>
      </c>
      <c r="M4">
        <f t="shared" ref="M4:M67" si="2">MIN(F4,K4)</f>
        <v>7473.1</v>
      </c>
      <c r="N4">
        <f t="shared" ref="N4:N26" si="3">IF(C4&gt;$A4,0,1)</f>
        <v>0</v>
      </c>
      <c r="O4">
        <f t="shared" ref="O4:O26" si="4">IF(H4&gt;$A4,0,1)</f>
        <v>1</v>
      </c>
      <c r="P4">
        <f>IF(D4&gt;$L4,0,1)</f>
        <v>0</v>
      </c>
      <c r="Q4">
        <f t="shared" ref="Q4:Q26" si="5">IF(I4&gt;$L4,0,1)</f>
        <v>1</v>
      </c>
      <c r="R4">
        <f t="shared" ref="R4:R67" si="6">IF(F4&gt;$M4,0,1)</f>
        <v>0</v>
      </c>
      <c r="S4">
        <f t="shared" ref="S4:S67" si="7">IF(K4&gt;$M4,0,1)</f>
        <v>1</v>
      </c>
      <c r="V4" s="1">
        <f t="shared" ref="V4:V67" si="8">IF(N4=O4,1,0)</f>
        <v>0</v>
      </c>
      <c r="Y4">
        <f t="shared" ref="Y4:Y67" si="9">IF(P4=Q4,1,0)</f>
        <v>0</v>
      </c>
    </row>
    <row r="5" spans="1:27" x14ac:dyDescent="0.25">
      <c r="A5">
        <f t="shared" si="0"/>
        <v>10019</v>
      </c>
      <c r="B5" t="s">
        <v>10</v>
      </c>
      <c r="C5">
        <v>10019</v>
      </c>
      <c r="D5">
        <v>10019</v>
      </c>
      <c r="E5">
        <v>14.54</v>
      </c>
      <c r="F5">
        <v>10019</v>
      </c>
      <c r="H5">
        <v>10019</v>
      </c>
      <c r="I5">
        <v>10019</v>
      </c>
      <c r="J5">
        <v>5.15</v>
      </c>
      <c r="K5">
        <v>10019</v>
      </c>
      <c r="L5">
        <f t="shared" si="1"/>
        <v>10019</v>
      </c>
      <c r="M5">
        <f t="shared" si="2"/>
        <v>10019</v>
      </c>
      <c r="N5">
        <f t="shared" si="3"/>
        <v>1</v>
      </c>
      <c r="O5">
        <f t="shared" si="4"/>
        <v>1</v>
      </c>
      <c r="P5">
        <f>IF(D5&gt;$L5,0,1)</f>
        <v>1</v>
      </c>
      <c r="Q5">
        <f t="shared" si="5"/>
        <v>1</v>
      </c>
      <c r="R5">
        <f t="shared" si="6"/>
        <v>1</v>
      </c>
      <c r="S5">
        <f t="shared" si="7"/>
        <v>1</v>
      </c>
      <c r="V5" s="1">
        <f t="shared" si="8"/>
        <v>1</v>
      </c>
      <c r="Y5">
        <f t="shared" si="9"/>
        <v>1</v>
      </c>
    </row>
    <row r="6" spans="1:27" x14ac:dyDescent="0.25">
      <c r="A6">
        <f t="shared" si="0"/>
        <v>13226.2</v>
      </c>
      <c r="B6" t="s">
        <v>11</v>
      </c>
      <c r="C6">
        <v>13226.2</v>
      </c>
      <c r="D6">
        <v>13226.2</v>
      </c>
      <c r="E6">
        <v>42.53</v>
      </c>
      <c r="F6">
        <v>13227.1</v>
      </c>
      <c r="H6">
        <v>13226.2</v>
      </c>
      <c r="I6">
        <v>13226.2</v>
      </c>
      <c r="J6">
        <v>38.01</v>
      </c>
      <c r="K6">
        <v>13227.1</v>
      </c>
      <c r="L6">
        <f t="shared" si="1"/>
        <v>13226.2</v>
      </c>
      <c r="M6">
        <f t="shared" si="2"/>
        <v>13227.1</v>
      </c>
      <c r="N6">
        <f t="shared" si="3"/>
        <v>1</v>
      </c>
      <c r="O6">
        <f t="shared" si="4"/>
        <v>1</v>
      </c>
      <c r="P6">
        <f t="shared" ref="P6:P26" si="10">IF(D6&gt;$L6,0,1)</f>
        <v>1</v>
      </c>
      <c r="Q6">
        <f>IF(I6&gt;$L6,0,1)</f>
        <v>1</v>
      </c>
      <c r="R6">
        <f>IF(F6&gt;$M6,0,1)</f>
        <v>1</v>
      </c>
      <c r="S6">
        <f t="shared" si="7"/>
        <v>1</v>
      </c>
      <c r="V6" s="1">
        <f t="shared" si="8"/>
        <v>1</v>
      </c>
      <c r="Y6">
        <f t="shared" si="9"/>
        <v>1</v>
      </c>
    </row>
    <row r="7" spans="1:27" x14ac:dyDescent="0.25">
      <c r="A7">
        <f t="shared" si="0"/>
        <v>17695</v>
      </c>
      <c r="B7" t="s">
        <v>12</v>
      </c>
      <c r="C7">
        <v>17695</v>
      </c>
      <c r="D7">
        <v>17695</v>
      </c>
      <c r="E7">
        <v>128.78</v>
      </c>
      <c r="F7">
        <v>17695</v>
      </c>
      <c r="H7">
        <v>17695</v>
      </c>
      <c r="I7">
        <v>17695</v>
      </c>
      <c r="J7">
        <v>8.5500000000000007</v>
      </c>
      <c r="K7">
        <v>17695</v>
      </c>
      <c r="L7">
        <f t="shared" si="1"/>
        <v>17695</v>
      </c>
      <c r="M7">
        <f t="shared" si="2"/>
        <v>17695</v>
      </c>
      <c r="N7">
        <f t="shared" si="3"/>
        <v>1</v>
      </c>
      <c r="O7">
        <f t="shared" si="4"/>
        <v>1</v>
      </c>
      <c r="P7">
        <f t="shared" si="10"/>
        <v>1</v>
      </c>
      <c r="Q7">
        <f t="shared" si="5"/>
        <v>1</v>
      </c>
      <c r="R7">
        <f t="shared" si="6"/>
        <v>1</v>
      </c>
      <c r="S7">
        <f t="shared" si="7"/>
        <v>1</v>
      </c>
      <c r="V7" s="1">
        <f t="shared" si="8"/>
        <v>1</v>
      </c>
      <c r="Y7">
        <f t="shared" si="9"/>
        <v>1</v>
      </c>
    </row>
    <row r="8" spans="1:27" x14ac:dyDescent="0.25">
      <c r="A8">
        <f t="shared" si="0"/>
        <v>17805.75</v>
      </c>
      <c r="B8" t="s">
        <v>13</v>
      </c>
      <c r="C8">
        <v>17805.75</v>
      </c>
      <c r="D8">
        <v>17805.75</v>
      </c>
      <c r="E8">
        <v>176.61</v>
      </c>
      <c r="F8">
        <v>17794.8</v>
      </c>
      <c r="H8">
        <v>17805.75</v>
      </c>
      <c r="I8">
        <v>17806.849999999999</v>
      </c>
      <c r="J8">
        <v>710.13</v>
      </c>
      <c r="K8">
        <v>17794.8</v>
      </c>
      <c r="L8">
        <f t="shared" si="1"/>
        <v>17805.75</v>
      </c>
      <c r="M8">
        <f t="shared" si="2"/>
        <v>17794.8</v>
      </c>
      <c r="N8">
        <f t="shared" si="3"/>
        <v>1</v>
      </c>
      <c r="O8">
        <f t="shared" si="4"/>
        <v>1</v>
      </c>
      <c r="P8">
        <f t="shared" si="10"/>
        <v>1</v>
      </c>
      <c r="Q8">
        <f t="shared" si="5"/>
        <v>0</v>
      </c>
      <c r="R8">
        <f t="shared" si="6"/>
        <v>1</v>
      </c>
      <c r="S8">
        <f t="shared" si="7"/>
        <v>1</v>
      </c>
      <c r="V8" s="1">
        <f t="shared" si="8"/>
        <v>1</v>
      </c>
      <c r="Y8">
        <f t="shared" si="9"/>
        <v>0</v>
      </c>
    </row>
    <row r="9" spans="1:27" x14ac:dyDescent="0.25">
      <c r="A9">
        <f t="shared" si="0"/>
        <v>70463.199999999997</v>
      </c>
      <c r="B9" t="s">
        <v>14</v>
      </c>
      <c r="C9">
        <v>70463.509999999995</v>
      </c>
      <c r="D9">
        <v>70464.31</v>
      </c>
      <c r="E9">
        <v>968.3</v>
      </c>
      <c r="F9">
        <v>70465.899999999994</v>
      </c>
      <c r="H9">
        <v>70463.199999999997</v>
      </c>
      <c r="I9">
        <v>70464.05</v>
      </c>
      <c r="J9">
        <v>728.99</v>
      </c>
      <c r="K9">
        <v>70465.8</v>
      </c>
      <c r="L9">
        <f t="shared" si="1"/>
        <v>70464.05</v>
      </c>
      <c r="M9">
        <f t="shared" si="2"/>
        <v>70465.8</v>
      </c>
      <c r="N9">
        <f t="shared" si="3"/>
        <v>0</v>
      </c>
      <c r="O9">
        <f t="shared" si="4"/>
        <v>1</v>
      </c>
      <c r="P9">
        <f t="shared" si="10"/>
        <v>0</v>
      </c>
      <c r="Q9">
        <f t="shared" si="5"/>
        <v>1</v>
      </c>
      <c r="R9">
        <f t="shared" si="6"/>
        <v>0</v>
      </c>
      <c r="S9">
        <f t="shared" si="7"/>
        <v>1</v>
      </c>
      <c r="V9" s="1">
        <f t="shared" si="8"/>
        <v>0</v>
      </c>
      <c r="Y9">
        <f t="shared" si="9"/>
        <v>0</v>
      </c>
    </row>
    <row r="10" spans="1:27" x14ac:dyDescent="0.25">
      <c r="A10">
        <f t="shared" si="0"/>
        <v>35221.33</v>
      </c>
      <c r="B10" t="s">
        <v>15</v>
      </c>
      <c r="C10">
        <v>35221.33</v>
      </c>
      <c r="D10">
        <v>35222.379999999997</v>
      </c>
      <c r="E10">
        <v>1192.27</v>
      </c>
      <c r="F10">
        <v>35227.199999999997</v>
      </c>
      <c r="H10">
        <v>35229.75</v>
      </c>
      <c r="I10">
        <v>35234.769999999997</v>
      </c>
      <c r="J10">
        <v>1012.18</v>
      </c>
      <c r="K10">
        <v>35236.800000000003</v>
      </c>
      <c r="L10">
        <f t="shared" si="1"/>
        <v>35222.379999999997</v>
      </c>
      <c r="M10">
        <f t="shared" si="2"/>
        <v>35227.199999999997</v>
      </c>
      <c r="N10">
        <f t="shared" si="3"/>
        <v>1</v>
      </c>
      <c r="O10">
        <f t="shared" si="4"/>
        <v>0</v>
      </c>
      <c r="P10">
        <f t="shared" si="10"/>
        <v>1</v>
      </c>
      <c r="Q10">
        <f t="shared" si="5"/>
        <v>0</v>
      </c>
      <c r="R10">
        <f t="shared" si="6"/>
        <v>1</v>
      </c>
      <c r="S10">
        <f t="shared" si="7"/>
        <v>0</v>
      </c>
      <c r="V10" s="1">
        <f t="shared" si="8"/>
        <v>0</v>
      </c>
      <c r="Y10">
        <f t="shared" si="9"/>
        <v>0</v>
      </c>
    </row>
    <row r="11" spans="1:27" x14ac:dyDescent="0.25">
      <c r="A11">
        <f t="shared" si="0"/>
        <v>65003.48</v>
      </c>
      <c r="B11" t="s">
        <v>16</v>
      </c>
      <c r="C11">
        <v>65003.48</v>
      </c>
      <c r="D11">
        <v>65003.48</v>
      </c>
      <c r="E11">
        <v>304.02</v>
      </c>
      <c r="F11">
        <v>65050.5</v>
      </c>
      <c r="H11">
        <v>65003.48</v>
      </c>
      <c r="I11">
        <v>65003.48</v>
      </c>
      <c r="J11">
        <v>60.87</v>
      </c>
      <c r="K11">
        <v>65011</v>
      </c>
      <c r="L11">
        <f t="shared" si="1"/>
        <v>65003.48</v>
      </c>
      <c r="M11">
        <f t="shared" si="2"/>
        <v>65011</v>
      </c>
      <c r="N11">
        <f t="shared" si="3"/>
        <v>1</v>
      </c>
      <c r="O11">
        <f t="shared" si="4"/>
        <v>1</v>
      </c>
      <c r="P11">
        <f t="shared" si="10"/>
        <v>1</v>
      </c>
      <c r="Q11">
        <f t="shared" si="5"/>
        <v>1</v>
      </c>
      <c r="R11">
        <f t="shared" si="6"/>
        <v>0</v>
      </c>
      <c r="S11">
        <f t="shared" si="7"/>
        <v>1</v>
      </c>
      <c r="V11" s="1">
        <f t="shared" si="8"/>
        <v>1</v>
      </c>
      <c r="Y11">
        <f t="shared" si="9"/>
        <v>1</v>
      </c>
    </row>
    <row r="12" spans="1:27" x14ac:dyDescent="0.25">
      <c r="A12">
        <f t="shared" si="0"/>
        <v>63293.84</v>
      </c>
      <c r="B12" t="s">
        <v>17</v>
      </c>
      <c r="C12">
        <v>63293.84</v>
      </c>
      <c r="D12">
        <v>63297.9</v>
      </c>
      <c r="E12">
        <v>829.87</v>
      </c>
      <c r="F12">
        <v>63297</v>
      </c>
      <c r="H12">
        <v>63339.44</v>
      </c>
      <c r="I12">
        <v>63371.56</v>
      </c>
      <c r="J12">
        <v>949.6</v>
      </c>
      <c r="K12">
        <v>63343.4</v>
      </c>
      <c r="L12">
        <f t="shared" si="1"/>
        <v>63297.9</v>
      </c>
      <c r="M12">
        <f t="shared" si="2"/>
        <v>63297</v>
      </c>
      <c r="N12">
        <f t="shared" si="3"/>
        <v>1</v>
      </c>
      <c r="O12">
        <f t="shared" si="4"/>
        <v>0</v>
      </c>
      <c r="P12">
        <f t="shared" si="10"/>
        <v>1</v>
      </c>
      <c r="Q12">
        <f t="shared" si="5"/>
        <v>0</v>
      </c>
      <c r="R12">
        <f t="shared" si="6"/>
        <v>1</v>
      </c>
      <c r="S12">
        <f t="shared" si="7"/>
        <v>0</v>
      </c>
      <c r="V12" s="1">
        <f t="shared" si="8"/>
        <v>0</v>
      </c>
      <c r="Y12">
        <f t="shared" si="9"/>
        <v>0</v>
      </c>
    </row>
    <row r="13" spans="1:27" x14ac:dyDescent="0.25">
      <c r="A13">
        <f t="shared" si="0"/>
        <v>53201.45</v>
      </c>
      <c r="B13" t="s">
        <v>18</v>
      </c>
      <c r="C13">
        <v>53201.45</v>
      </c>
      <c r="D13">
        <v>53207.38</v>
      </c>
      <c r="E13">
        <v>1145.47</v>
      </c>
      <c r="F13">
        <v>53200.2</v>
      </c>
      <c r="H13">
        <v>53232.76</v>
      </c>
      <c r="I13">
        <v>53242</v>
      </c>
      <c r="J13">
        <v>1032.07</v>
      </c>
      <c r="K13">
        <v>53236.6</v>
      </c>
      <c r="L13">
        <f t="shared" si="1"/>
        <v>53207.38</v>
      </c>
      <c r="M13">
        <f t="shared" si="2"/>
        <v>53200.2</v>
      </c>
      <c r="N13">
        <f t="shared" si="3"/>
        <v>1</v>
      </c>
      <c r="O13">
        <f t="shared" si="4"/>
        <v>0</v>
      </c>
      <c r="P13">
        <f t="shared" si="10"/>
        <v>1</v>
      </c>
      <c r="Q13">
        <f t="shared" si="5"/>
        <v>0</v>
      </c>
      <c r="R13">
        <f t="shared" si="6"/>
        <v>1</v>
      </c>
      <c r="S13">
        <f t="shared" si="7"/>
        <v>0</v>
      </c>
      <c r="V13" s="1">
        <f t="shared" si="8"/>
        <v>0</v>
      </c>
      <c r="Y13">
        <f t="shared" si="9"/>
        <v>0</v>
      </c>
    </row>
    <row r="14" spans="1:27" x14ac:dyDescent="0.25">
      <c r="A14">
        <f t="shared" si="0"/>
        <v>61352.43</v>
      </c>
      <c r="B14" t="s">
        <v>19</v>
      </c>
      <c r="C14">
        <v>61352.43</v>
      </c>
      <c r="D14">
        <v>61359.5</v>
      </c>
      <c r="E14">
        <v>1062.79</v>
      </c>
      <c r="F14">
        <v>61362.3</v>
      </c>
      <c r="H14">
        <v>61467.97</v>
      </c>
      <c r="I14">
        <v>61690.7</v>
      </c>
      <c r="J14">
        <v>728.31</v>
      </c>
      <c r="K14">
        <v>61484.3</v>
      </c>
      <c r="L14">
        <f t="shared" si="1"/>
        <v>61359.5</v>
      </c>
      <c r="M14">
        <f t="shared" si="2"/>
        <v>61362.3</v>
      </c>
      <c r="N14">
        <f t="shared" si="3"/>
        <v>1</v>
      </c>
      <c r="O14">
        <f t="shared" si="4"/>
        <v>0</v>
      </c>
      <c r="P14">
        <f t="shared" si="10"/>
        <v>1</v>
      </c>
      <c r="Q14">
        <f t="shared" si="5"/>
        <v>0</v>
      </c>
      <c r="R14">
        <f t="shared" si="6"/>
        <v>1</v>
      </c>
      <c r="S14">
        <f t="shared" si="7"/>
        <v>0</v>
      </c>
      <c r="V14" s="1">
        <f t="shared" si="8"/>
        <v>0</v>
      </c>
      <c r="Y14">
        <f t="shared" si="9"/>
        <v>0</v>
      </c>
    </row>
    <row r="15" spans="1:27" x14ac:dyDescent="0.25">
      <c r="A15">
        <f t="shared" si="0"/>
        <v>88253.35</v>
      </c>
      <c r="B15" t="s">
        <v>20</v>
      </c>
      <c r="C15">
        <v>88253.35</v>
      </c>
      <c r="D15">
        <v>88419.96</v>
      </c>
      <c r="E15">
        <v>1475.47</v>
      </c>
      <c r="F15">
        <v>88276.9</v>
      </c>
      <c r="H15">
        <v>88582.45</v>
      </c>
      <c r="I15">
        <v>88627.16</v>
      </c>
      <c r="J15">
        <v>1191.97</v>
      </c>
      <c r="K15">
        <v>88583.5</v>
      </c>
      <c r="L15">
        <f t="shared" si="1"/>
        <v>88419.96</v>
      </c>
      <c r="M15">
        <f t="shared" si="2"/>
        <v>88276.9</v>
      </c>
      <c r="N15">
        <f t="shared" si="3"/>
        <v>1</v>
      </c>
      <c r="O15">
        <f t="shared" si="4"/>
        <v>0</v>
      </c>
      <c r="P15">
        <f t="shared" si="10"/>
        <v>1</v>
      </c>
      <c r="Q15">
        <f t="shared" si="5"/>
        <v>0</v>
      </c>
      <c r="R15">
        <f t="shared" si="6"/>
        <v>1</v>
      </c>
      <c r="S15">
        <f t="shared" si="7"/>
        <v>0</v>
      </c>
      <c r="V15" s="1">
        <f t="shared" si="8"/>
        <v>0</v>
      </c>
      <c r="Y15">
        <f t="shared" si="9"/>
        <v>0</v>
      </c>
    </row>
    <row r="16" spans="1:27" x14ac:dyDescent="0.25">
      <c r="A16">
        <f t="shared" si="0"/>
        <v>83443.56</v>
      </c>
      <c r="B16" t="s">
        <v>21</v>
      </c>
      <c r="C16">
        <v>83443.56</v>
      </c>
      <c r="D16">
        <v>83487.839999999997</v>
      </c>
      <c r="E16">
        <v>1415.68</v>
      </c>
      <c r="F16">
        <v>83429.3</v>
      </c>
      <c r="H16">
        <v>83732.539999999994</v>
      </c>
      <c r="I16">
        <v>83788.210000000006</v>
      </c>
      <c r="J16">
        <v>610.45000000000005</v>
      </c>
      <c r="K16">
        <v>83727.600000000006</v>
      </c>
      <c r="L16">
        <f t="shared" si="1"/>
        <v>83487.839999999997</v>
      </c>
      <c r="M16">
        <f t="shared" si="2"/>
        <v>83429.3</v>
      </c>
      <c r="N16">
        <f t="shared" si="3"/>
        <v>1</v>
      </c>
      <c r="O16">
        <f t="shared" si="4"/>
        <v>0</v>
      </c>
      <c r="P16">
        <f t="shared" si="10"/>
        <v>1</v>
      </c>
      <c r="Q16">
        <f t="shared" si="5"/>
        <v>0</v>
      </c>
      <c r="R16">
        <f t="shared" si="6"/>
        <v>1</v>
      </c>
      <c r="S16">
        <f t="shared" si="7"/>
        <v>0</v>
      </c>
      <c r="V16" s="1">
        <f t="shared" si="8"/>
        <v>0</v>
      </c>
      <c r="Y16">
        <f t="shared" si="9"/>
        <v>0</v>
      </c>
    </row>
    <row r="17" spans="1:27" x14ac:dyDescent="0.25">
      <c r="A17">
        <f t="shared" si="0"/>
        <v>107222.34</v>
      </c>
      <c r="B17" t="s">
        <v>22</v>
      </c>
      <c r="C17">
        <v>107222.34</v>
      </c>
      <c r="D17">
        <v>107306.55</v>
      </c>
      <c r="E17">
        <v>1623.5</v>
      </c>
      <c r="F17">
        <v>107293.3</v>
      </c>
      <c r="H17">
        <v>107318.87</v>
      </c>
      <c r="I17">
        <v>107699.64</v>
      </c>
      <c r="J17">
        <v>837.46</v>
      </c>
      <c r="K17">
        <v>107391.4</v>
      </c>
      <c r="L17">
        <f t="shared" si="1"/>
        <v>107306.55</v>
      </c>
      <c r="M17">
        <f t="shared" si="2"/>
        <v>107293.3</v>
      </c>
      <c r="N17">
        <f t="shared" si="3"/>
        <v>1</v>
      </c>
      <c r="O17">
        <f t="shared" si="4"/>
        <v>0</v>
      </c>
      <c r="P17">
        <f t="shared" si="10"/>
        <v>1</v>
      </c>
      <c r="Q17">
        <f t="shared" si="5"/>
        <v>0</v>
      </c>
      <c r="R17">
        <f t="shared" si="6"/>
        <v>1</v>
      </c>
      <c r="S17">
        <f t="shared" si="7"/>
        <v>0</v>
      </c>
      <c r="V17" s="1">
        <f t="shared" si="8"/>
        <v>0</v>
      </c>
      <c r="Y17">
        <f t="shared" si="9"/>
        <v>0</v>
      </c>
    </row>
    <row r="18" spans="1:27" x14ac:dyDescent="0.25">
      <c r="A18">
        <f t="shared" si="0"/>
        <v>118623.58</v>
      </c>
      <c r="B18" t="s">
        <v>23</v>
      </c>
      <c r="C18">
        <v>118623.58</v>
      </c>
      <c r="D18">
        <v>118892.14</v>
      </c>
      <c r="E18">
        <v>1577.57</v>
      </c>
      <c r="F18">
        <v>118657</v>
      </c>
      <c r="H18">
        <v>118937.98</v>
      </c>
      <c r="I18">
        <v>119131.69</v>
      </c>
      <c r="J18">
        <v>1039.73</v>
      </c>
      <c r="K18">
        <v>118954.5</v>
      </c>
      <c r="L18">
        <f t="shared" si="1"/>
        <v>118892.14</v>
      </c>
      <c r="M18">
        <f t="shared" si="2"/>
        <v>118657</v>
      </c>
      <c r="N18">
        <f t="shared" si="3"/>
        <v>1</v>
      </c>
      <c r="O18">
        <f t="shared" si="4"/>
        <v>0</v>
      </c>
      <c r="P18">
        <f t="shared" si="10"/>
        <v>1</v>
      </c>
      <c r="Q18">
        <f t="shared" si="5"/>
        <v>0</v>
      </c>
      <c r="R18">
        <f t="shared" si="6"/>
        <v>1</v>
      </c>
      <c r="S18">
        <f t="shared" si="7"/>
        <v>0</v>
      </c>
      <c r="V18" s="1">
        <f t="shared" si="8"/>
        <v>0</v>
      </c>
      <c r="Y18">
        <f t="shared" si="9"/>
        <v>0</v>
      </c>
    </row>
    <row r="19" spans="1:27" x14ac:dyDescent="0.25">
      <c r="A19">
        <f t="shared" si="0"/>
        <v>259656.7</v>
      </c>
      <c r="B19" t="s">
        <v>24</v>
      </c>
      <c r="C19">
        <v>259656.7</v>
      </c>
      <c r="D19">
        <v>259869.59</v>
      </c>
      <c r="E19">
        <v>1653.67</v>
      </c>
      <c r="F19">
        <v>259652.1</v>
      </c>
      <c r="H19">
        <v>259921.92000000001</v>
      </c>
      <c r="I19">
        <v>259962.84</v>
      </c>
      <c r="J19">
        <v>769.6</v>
      </c>
      <c r="K19">
        <v>259918.3</v>
      </c>
      <c r="L19">
        <f t="shared" si="1"/>
        <v>259869.59</v>
      </c>
      <c r="M19">
        <f t="shared" si="2"/>
        <v>259652.1</v>
      </c>
      <c r="N19">
        <f t="shared" si="3"/>
        <v>1</v>
      </c>
      <c r="O19">
        <f t="shared" si="4"/>
        <v>0</v>
      </c>
      <c r="P19">
        <f t="shared" si="10"/>
        <v>1</v>
      </c>
      <c r="Q19">
        <f t="shared" si="5"/>
        <v>0</v>
      </c>
      <c r="R19">
        <f t="shared" si="6"/>
        <v>1</v>
      </c>
      <c r="S19">
        <f t="shared" si="7"/>
        <v>0</v>
      </c>
      <c r="V19" s="1">
        <f t="shared" si="8"/>
        <v>0</v>
      </c>
      <c r="Y19">
        <f t="shared" si="9"/>
        <v>0</v>
      </c>
    </row>
    <row r="20" spans="1:27" x14ac:dyDescent="0.25">
      <c r="A20">
        <f t="shared" si="0"/>
        <v>168321.2</v>
      </c>
      <c r="B20" t="s">
        <v>25</v>
      </c>
      <c r="C20">
        <v>168321.2</v>
      </c>
      <c r="D20">
        <v>168378.93</v>
      </c>
      <c r="E20">
        <v>1522.26</v>
      </c>
      <c r="F20">
        <v>168355.20000000001</v>
      </c>
      <c r="H20">
        <v>168705.72</v>
      </c>
      <c r="I20">
        <v>168877.46</v>
      </c>
      <c r="J20">
        <v>617.05999999999995</v>
      </c>
      <c r="K20">
        <v>168705.3</v>
      </c>
      <c r="L20">
        <f t="shared" si="1"/>
        <v>168378.93</v>
      </c>
      <c r="M20">
        <f t="shared" si="2"/>
        <v>168355.20000000001</v>
      </c>
      <c r="N20">
        <f t="shared" si="3"/>
        <v>1</v>
      </c>
      <c r="O20">
        <f t="shared" si="4"/>
        <v>0</v>
      </c>
      <c r="P20">
        <f t="shared" si="10"/>
        <v>1</v>
      </c>
      <c r="Q20">
        <f t="shared" si="5"/>
        <v>0</v>
      </c>
      <c r="R20">
        <f t="shared" si="6"/>
        <v>1</v>
      </c>
      <c r="S20">
        <f t="shared" si="7"/>
        <v>0</v>
      </c>
      <c r="V20" s="1">
        <f t="shared" si="8"/>
        <v>0</v>
      </c>
      <c r="Y20">
        <f t="shared" si="9"/>
        <v>0</v>
      </c>
    </row>
    <row r="21" spans="1:27" x14ac:dyDescent="0.25">
      <c r="A21">
        <f t="shared" si="0"/>
        <v>256174.84</v>
      </c>
      <c r="B21" t="s">
        <v>26</v>
      </c>
      <c r="C21">
        <v>256174.84</v>
      </c>
      <c r="D21">
        <v>256684.28</v>
      </c>
      <c r="E21">
        <v>1603.11</v>
      </c>
      <c r="F21">
        <v>256202</v>
      </c>
      <c r="H21">
        <v>257260.41</v>
      </c>
      <c r="I21">
        <v>257707.8</v>
      </c>
      <c r="J21">
        <v>857.94</v>
      </c>
      <c r="K21">
        <v>257269.4</v>
      </c>
      <c r="L21">
        <f t="shared" si="1"/>
        <v>256684.28</v>
      </c>
      <c r="M21">
        <f t="shared" si="2"/>
        <v>256202</v>
      </c>
      <c r="N21">
        <f t="shared" si="3"/>
        <v>1</v>
      </c>
      <c r="O21">
        <f t="shared" si="4"/>
        <v>0</v>
      </c>
      <c r="P21">
        <f t="shared" si="10"/>
        <v>1</v>
      </c>
      <c r="Q21">
        <f t="shared" si="5"/>
        <v>0</v>
      </c>
      <c r="R21">
        <f t="shared" si="6"/>
        <v>1</v>
      </c>
      <c r="S21">
        <f t="shared" si="7"/>
        <v>0</v>
      </c>
      <c r="V21" s="1">
        <f t="shared" si="8"/>
        <v>0</v>
      </c>
      <c r="Y21">
        <f t="shared" si="9"/>
        <v>0</v>
      </c>
    </row>
    <row r="22" spans="1:27" x14ac:dyDescent="0.25">
      <c r="A22">
        <f t="shared" si="0"/>
        <v>258497.09</v>
      </c>
      <c r="B22" t="s">
        <v>27</v>
      </c>
      <c r="C22">
        <v>258497.09</v>
      </c>
      <c r="D22">
        <v>258632.3</v>
      </c>
      <c r="E22">
        <v>1644.68</v>
      </c>
      <c r="F22">
        <v>258447.2</v>
      </c>
      <c r="H22">
        <v>260040.62</v>
      </c>
      <c r="I22">
        <v>260296.74</v>
      </c>
      <c r="J22">
        <v>783.97</v>
      </c>
      <c r="K22">
        <v>260028.9</v>
      </c>
      <c r="L22">
        <f t="shared" si="1"/>
        <v>258632.3</v>
      </c>
      <c r="M22">
        <f t="shared" si="2"/>
        <v>258447.2</v>
      </c>
      <c r="N22">
        <f t="shared" si="3"/>
        <v>1</v>
      </c>
      <c r="O22">
        <f t="shared" si="4"/>
        <v>0</v>
      </c>
      <c r="P22">
        <f t="shared" si="10"/>
        <v>1</v>
      </c>
      <c r="Q22">
        <f t="shared" si="5"/>
        <v>0</v>
      </c>
      <c r="R22">
        <f t="shared" si="6"/>
        <v>1</v>
      </c>
      <c r="S22">
        <f t="shared" si="7"/>
        <v>0</v>
      </c>
      <c r="V22" s="1">
        <f t="shared" si="8"/>
        <v>0</v>
      </c>
      <c r="Y22">
        <f t="shared" si="9"/>
        <v>0</v>
      </c>
    </row>
    <row r="23" spans="1:27" x14ac:dyDescent="0.25">
      <c r="A23">
        <f t="shared" si="0"/>
        <v>554099.42000000004</v>
      </c>
      <c r="B23" t="s">
        <v>28</v>
      </c>
      <c r="C23">
        <v>554099.42000000004</v>
      </c>
      <c r="D23">
        <v>554848.92000000004</v>
      </c>
      <c r="E23">
        <v>1300.46</v>
      </c>
      <c r="F23">
        <v>554057.4</v>
      </c>
      <c r="H23">
        <v>554350.26</v>
      </c>
      <c r="I23">
        <v>554913.72</v>
      </c>
      <c r="J23">
        <v>1109.9100000000001</v>
      </c>
      <c r="K23">
        <v>554254.4</v>
      </c>
      <c r="L23">
        <f t="shared" si="1"/>
        <v>554848.92000000004</v>
      </c>
      <c r="M23">
        <f t="shared" si="2"/>
        <v>554057.4</v>
      </c>
      <c r="N23">
        <f t="shared" si="3"/>
        <v>1</v>
      </c>
      <c r="O23">
        <f t="shared" si="4"/>
        <v>0</v>
      </c>
      <c r="P23">
        <f t="shared" si="10"/>
        <v>1</v>
      </c>
      <c r="Q23">
        <f t="shared" si="5"/>
        <v>0</v>
      </c>
      <c r="R23">
        <f t="shared" si="6"/>
        <v>1</v>
      </c>
      <c r="S23">
        <f t="shared" si="7"/>
        <v>0</v>
      </c>
      <c r="V23" s="1">
        <f t="shared" si="8"/>
        <v>0</v>
      </c>
      <c r="Y23">
        <f t="shared" si="9"/>
        <v>0</v>
      </c>
    </row>
    <row r="24" spans="1:27" x14ac:dyDescent="0.25">
      <c r="A24">
        <f t="shared" si="0"/>
        <v>373005.98</v>
      </c>
      <c r="B24" t="s">
        <v>29</v>
      </c>
      <c r="C24">
        <v>373005.98</v>
      </c>
      <c r="D24">
        <v>374262.99</v>
      </c>
      <c r="E24">
        <v>1365.15</v>
      </c>
      <c r="F24">
        <v>373042.9</v>
      </c>
      <c r="H24">
        <v>374820.55</v>
      </c>
      <c r="I24">
        <v>375544.29</v>
      </c>
      <c r="J24">
        <v>801.52</v>
      </c>
      <c r="K24">
        <v>374843.3</v>
      </c>
      <c r="L24">
        <f t="shared" si="1"/>
        <v>374262.99</v>
      </c>
      <c r="M24">
        <f t="shared" si="2"/>
        <v>373042.9</v>
      </c>
      <c r="N24">
        <f t="shared" si="3"/>
        <v>1</v>
      </c>
      <c r="O24">
        <f t="shared" si="4"/>
        <v>0</v>
      </c>
      <c r="P24">
        <f t="shared" si="10"/>
        <v>1</v>
      </c>
      <c r="Q24">
        <f t="shared" si="5"/>
        <v>0</v>
      </c>
      <c r="R24">
        <f t="shared" si="6"/>
        <v>1</v>
      </c>
      <c r="S24">
        <f t="shared" si="7"/>
        <v>0</v>
      </c>
      <c r="V24" s="1">
        <f t="shared" si="8"/>
        <v>0</v>
      </c>
      <c r="Y24">
        <f t="shared" si="9"/>
        <v>0</v>
      </c>
    </row>
    <row r="25" spans="1:27" x14ac:dyDescent="0.25">
      <c r="A25">
        <f t="shared" si="0"/>
        <v>772772.64</v>
      </c>
      <c r="B25" t="s">
        <v>30</v>
      </c>
      <c r="C25">
        <v>773276.74</v>
      </c>
      <c r="D25">
        <v>774292.47</v>
      </c>
      <c r="E25">
        <v>620.95000000000005</v>
      </c>
      <c r="F25">
        <v>773151.4</v>
      </c>
      <c r="H25">
        <v>772772.64</v>
      </c>
      <c r="I25">
        <v>773500.91</v>
      </c>
      <c r="J25">
        <v>1067.49</v>
      </c>
      <c r="K25">
        <v>772702.1</v>
      </c>
      <c r="L25">
        <f t="shared" si="1"/>
        <v>773500.91</v>
      </c>
      <c r="M25">
        <f t="shared" si="2"/>
        <v>772702.1</v>
      </c>
      <c r="N25">
        <f t="shared" si="3"/>
        <v>0</v>
      </c>
      <c r="O25">
        <f t="shared" si="4"/>
        <v>1</v>
      </c>
      <c r="P25">
        <f t="shared" si="10"/>
        <v>0</v>
      </c>
      <c r="Q25">
        <f t="shared" si="5"/>
        <v>1</v>
      </c>
      <c r="R25">
        <f t="shared" si="6"/>
        <v>0</v>
      </c>
      <c r="S25">
        <f t="shared" si="7"/>
        <v>1</v>
      </c>
      <c r="V25" s="1">
        <f t="shared" si="8"/>
        <v>0</v>
      </c>
      <c r="Y25">
        <f t="shared" si="9"/>
        <v>0</v>
      </c>
    </row>
    <row r="26" spans="1:27" x14ac:dyDescent="0.25">
      <c r="A26">
        <f t="shared" si="0"/>
        <v>749159.93</v>
      </c>
      <c r="B26" t="s">
        <v>31</v>
      </c>
      <c r="C26">
        <v>749159.93</v>
      </c>
      <c r="D26">
        <v>751312.57</v>
      </c>
      <c r="E26">
        <v>1347.21</v>
      </c>
      <c r="F26">
        <v>749120</v>
      </c>
      <c r="H26">
        <v>752155.45</v>
      </c>
      <c r="I26">
        <v>752612.57</v>
      </c>
      <c r="J26">
        <v>1004.18</v>
      </c>
      <c r="K26">
        <v>752153.7</v>
      </c>
      <c r="L26">
        <f t="shared" si="1"/>
        <v>751312.57</v>
      </c>
      <c r="M26">
        <f t="shared" si="2"/>
        <v>749120</v>
      </c>
      <c r="N26">
        <f t="shared" si="3"/>
        <v>1</v>
      </c>
      <c r="O26">
        <f t="shared" si="4"/>
        <v>0</v>
      </c>
      <c r="P26">
        <f t="shared" si="10"/>
        <v>1</v>
      </c>
      <c r="Q26">
        <f t="shared" si="5"/>
        <v>0</v>
      </c>
      <c r="R26">
        <f t="shared" si="6"/>
        <v>1</v>
      </c>
      <c r="S26">
        <f t="shared" si="7"/>
        <v>0</v>
      </c>
      <c r="V26" s="1">
        <f t="shared" si="8"/>
        <v>0</v>
      </c>
      <c r="Y26">
        <f t="shared" si="9"/>
        <v>0</v>
      </c>
    </row>
    <row r="27" spans="1:27" x14ac:dyDescent="0.25">
      <c r="T27">
        <f>SUM(N3:N26)</f>
        <v>21</v>
      </c>
      <c r="U27">
        <f>SUM(O3:O26)</f>
        <v>9</v>
      </c>
      <c r="V27" s="1">
        <f>SUM(V3:V26)</f>
        <v>6</v>
      </c>
      <c r="W27">
        <f>SUM(P3:P26)</f>
        <v>21</v>
      </c>
      <c r="X27">
        <f>SUM(Q3:Q26)</f>
        <v>8</v>
      </c>
      <c r="Y27">
        <f>SUM(Y3:Y26)</f>
        <v>5</v>
      </c>
      <c r="Z27">
        <f>SUM(R3:R26)</f>
        <v>20</v>
      </c>
      <c r="AA27">
        <f>SUM(S3:S26)</f>
        <v>9</v>
      </c>
    </row>
    <row r="28" spans="1:27" x14ac:dyDescent="0.25">
      <c r="A28">
        <f t="shared" si="0"/>
        <v>17588.009999999998</v>
      </c>
      <c r="B28" t="s">
        <v>32</v>
      </c>
      <c r="C28">
        <v>17588.009999999998</v>
      </c>
      <c r="D28">
        <v>17588.009999999998</v>
      </c>
      <c r="E28">
        <v>24.11</v>
      </c>
      <c r="F28">
        <v>17568.7</v>
      </c>
      <c r="H28">
        <v>17588.009999999998</v>
      </c>
      <c r="I28">
        <v>17588.009999999998</v>
      </c>
      <c r="J28">
        <v>131.5</v>
      </c>
      <c r="K28">
        <v>17568.7</v>
      </c>
      <c r="L28">
        <f t="shared" si="1"/>
        <v>17588.009999999998</v>
      </c>
      <c r="M28">
        <f t="shared" si="2"/>
        <v>17568.7</v>
      </c>
      <c r="N28">
        <f t="shared" ref="N28:N51" si="11">IF(C28&gt;$A28,0,1)</f>
        <v>1</v>
      </c>
      <c r="O28">
        <f t="shared" ref="O28:O51" si="12">IF(H28&gt;$A28,0,1)</f>
        <v>1</v>
      </c>
      <c r="P28">
        <f>IF(D28&gt;$L28,0,1)</f>
        <v>1</v>
      </c>
      <c r="Q28">
        <f>IF(I28&gt;$L28,0,1)</f>
        <v>1</v>
      </c>
      <c r="R28">
        <f t="shared" si="6"/>
        <v>1</v>
      </c>
      <c r="S28">
        <f t="shared" si="7"/>
        <v>1</v>
      </c>
      <c r="V28" s="1">
        <f t="shared" si="8"/>
        <v>1</v>
      </c>
      <c r="Y28">
        <f t="shared" si="9"/>
        <v>1</v>
      </c>
    </row>
    <row r="29" spans="1:27" x14ac:dyDescent="0.25">
      <c r="A29">
        <f t="shared" si="0"/>
        <v>24588.2</v>
      </c>
      <c r="B29" t="s">
        <v>33</v>
      </c>
      <c r="C29">
        <v>24588.2</v>
      </c>
      <c r="D29">
        <v>24588.2</v>
      </c>
      <c r="E29">
        <v>5.91</v>
      </c>
      <c r="F29">
        <v>24549.1</v>
      </c>
      <c r="H29">
        <v>24588.2</v>
      </c>
      <c r="I29">
        <v>24588.2</v>
      </c>
      <c r="J29">
        <v>14.51</v>
      </c>
      <c r="K29">
        <v>24549.1</v>
      </c>
      <c r="L29">
        <f t="shared" si="1"/>
        <v>24588.2</v>
      </c>
      <c r="M29">
        <f t="shared" si="2"/>
        <v>24549.1</v>
      </c>
      <c r="N29">
        <f t="shared" si="11"/>
        <v>1</v>
      </c>
      <c r="O29">
        <f t="shared" si="12"/>
        <v>1</v>
      </c>
      <c r="P29">
        <f>IF(D29&gt;$L29,0,1)</f>
        <v>1</v>
      </c>
      <c r="Q29">
        <f t="shared" ref="Q29:Q51" si="13">IF(I29&gt;$L29,0,1)</f>
        <v>1</v>
      </c>
      <c r="R29">
        <f t="shared" si="6"/>
        <v>1</v>
      </c>
      <c r="S29">
        <f t="shared" si="7"/>
        <v>1</v>
      </c>
      <c r="V29" s="1">
        <f t="shared" si="8"/>
        <v>1</v>
      </c>
      <c r="Y29">
        <f t="shared" si="9"/>
        <v>1</v>
      </c>
    </row>
    <row r="30" spans="1:27" x14ac:dyDescent="0.25">
      <c r="A30">
        <f t="shared" si="0"/>
        <v>37798.25</v>
      </c>
      <c r="B30" t="s">
        <v>34</v>
      </c>
      <c r="C30">
        <v>37798.25</v>
      </c>
      <c r="D30">
        <v>37798.93</v>
      </c>
      <c r="E30">
        <v>934.95</v>
      </c>
      <c r="F30">
        <v>37788.199999999997</v>
      </c>
      <c r="H30">
        <v>37801.410000000003</v>
      </c>
      <c r="I30">
        <v>37805.14</v>
      </c>
      <c r="J30">
        <v>762.63</v>
      </c>
      <c r="K30">
        <v>37791.300000000003</v>
      </c>
      <c r="L30">
        <f t="shared" si="1"/>
        <v>37798.93</v>
      </c>
      <c r="M30">
        <f t="shared" si="2"/>
        <v>37788.199999999997</v>
      </c>
      <c r="N30">
        <f t="shared" si="11"/>
        <v>1</v>
      </c>
      <c r="O30">
        <f t="shared" si="12"/>
        <v>0</v>
      </c>
      <c r="P30">
        <f t="shared" ref="P30:P51" si="14">IF(D30&gt;$L30,0,1)</f>
        <v>1</v>
      </c>
      <c r="Q30">
        <f t="shared" si="13"/>
        <v>0</v>
      </c>
      <c r="R30">
        <f t="shared" si="6"/>
        <v>1</v>
      </c>
      <c r="S30">
        <f t="shared" si="7"/>
        <v>0</v>
      </c>
      <c r="V30" s="1">
        <f t="shared" si="8"/>
        <v>0</v>
      </c>
      <c r="Y30">
        <f t="shared" si="9"/>
        <v>0</v>
      </c>
    </row>
    <row r="31" spans="1:27" x14ac:dyDescent="0.25">
      <c r="A31">
        <f t="shared" si="0"/>
        <v>50542.02</v>
      </c>
      <c r="B31" t="s">
        <v>35</v>
      </c>
      <c r="C31">
        <v>50542.02</v>
      </c>
      <c r="D31">
        <v>50549.05</v>
      </c>
      <c r="E31">
        <v>1161.5899999999999</v>
      </c>
      <c r="F31">
        <v>50566.1</v>
      </c>
      <c r="H31">
        <v>50613.36</v>
      </c>
      <c r="I31">
        <v>50641.5</v>
      </c>
      <c r="J31">
        <v>902.78</v>
      </c>
      <c r="K31">
        <v>50634.9</v>
      </c>
      <c r="L31">
        <f t="shared" si="1"/>
        <v>50549.05</v>
      </c>
      <c r="M31">
        <f t="shared" si="2"/>
        <v>50566.1</v>
      </c>
      <c r="N31">
        <f t="shared" si="11"/>
        <v>1</v>
      </c>
      <c r="O31">
        <f t="shared" si="12"/>
        <v>0</v>
      </c>
      <c r="P31">
        <f t="shared" si="14"/>
        <v>1</v>
      </c>
      <c r="Q31">
        <f t="shared" si="13"/>
        <v>0</v>
      </c>
      <c r="R31">
        <f t="shared" si="6"/>
        <v>1</v>
      </c>
      <c r="S31">
        <f t="shared" si="7"/>
        <v>0</v>
      </c>
      <c r="V31" s="1">
        <f t="shared" si="8"/>
        <v>0</v>
      </c>
      <c r="Y31">
        <f t="shared" si="9"/>
        <v>0</v>
      </c>
    </row>
    <row r="32" spans="1:27" x14ac:dyDescent="0.25">
      <c r="A32">
        <f t="shared" si="0"/>
        <v>62467.74</v>
      </c>
      <c r="B32" t="s">
        <v>36</v>
      </c>
      <c r="C32">
        <v>62467.74</v>
      </c>
      <c r="D32">
        <v>62470.96</v>
      </c>
      <c r="E32">
        <v>1096.6500000000001</v>
      </c>
      <c r="F32">
        <v>62481.1</v>
      </c>
      <c r="H32">
        <v>62507.86</v>
      </c>
      <c r="I32">
        <v>62525.760000000002</v>
      </c>
      <c r="J32">
        <v>1001.36</v>
      </c>
      <c r="K32">
        <v>62516.1</v>
      </c>
      <c r="L32">
        <f t="shared" si="1"/>
        <v>62470.96</v>
      </c>
      <c r="M32">
        <f t="shared" si="2"/>
        <v>62481.1</v>
      </c>
      <c r="N32">
        <f t="shared" si="11"/>
        <v>1</v>
      </c>
      <c r="O32">
        <f t="shared" si="12"/>
        <v>0</v>
      </c>
      <c r="P32">
        <f t="shared" si="14"/>
        <v>1</v>
      </c>
      <c r="Q32">
        <f t="shared" si="13"/>
        <v>0</v>
      </c>
      <c r="R32">
        <f t="shared" si="6"/>
        <v>1</v>
      </c>
      <c r="S32">
        <f t="shared" si="7"/>
        <v>0</v>
      </c>
      <c r="V32" s="1">
        <f t="shared" si="8"/>
        <v>0</v>
      </c>
      <c r="Y32">
        <f t="shared" si="9"/>
        <v>0</v>
      </c>
    </row>
    <row r="33" spans="1:25" x14ac:dyDescent="0.25">
      <c r="A33">
        <f t="shared" si="0"/>
        <v>67575.55</v>
      </c>
      <c r="B33" t="s">
        <v>37</v>
      </c>
      <c r="C33">
        <v>67575.55</v>
      </c>
      <c r="D33">
        <v>67688.62</v>
      </c>
      <c r="E33">
        <v>919.69</v>
      </c>
      <c r="F33">
        <v>67545.8</v>
      </c>
      <c r="H33">
        <v>67817.08</v>
      </c>
      <c r="I33">
        <v>67915</v>
      </c>
      <c r="J33">
        <v>786.75</v>
      </c>
      <c r="K33">
        <v>67775.399999999994</v>
      </c>
      <c r="L33">
        <f t="shared" si="1"/>
        <v>67688.62</v>
      </c>
      <c r="M33">
        <f t="shared" si="2"/>
        <v>67545.8</v>
      </c>
      <c r="N33">
        <f t="shared" si="11"/>
        <v>1</v>
      </c>
      <c r="O33">
        <f t="shared" si="12"/>
        <v>0</v>
      </c>
      <c r="P33">
        <f t="shared" si="14"/>
        <v>1</v>
      </c>
      <c r="Q33">
        <f t="shared" si="13"/>
        <v>0</v>
      </c>
      <c r="R33">
        <f t="shared" si="6"/>
        <v>1</v>
      </c>
      <c r="S33">
        <f t="shared" si="7"/>
        <v>0</v>
      </c>
      <c r="V33" s="1">
        <f t="shared" si="8"/>
        <v>0</v>
      </c>
      <c r="Y33">
        <f t="shared" si="9"/>
        <v>0</v>
      </c>
    </row>
    <row r="34" spans="1:25" x14ac:dyDescent="0.25">
      <c r="A34">
        <f t="shared" si="0"/>
        <v>241551.04</v>
      </c>
      <c r="B34" t="s">
        <v>38</v>
      </c>
      <c r="C34">
        <v>241551.04</v>
      </c>
      <c r="D34">
        <v>241605.58</v>
      </c>
      <c r="E34">
        <v>1094.73</v>
      </c>
      <c r="F34">
        <v>241567.5</v>
      </c>
      <c r="H34">
        <v>241554.04</v>
      </c>
      <c r="I34">
        <v>241589.2</v>
      </c>
      <c r="J34">
        <v>901.08</v>
      </c>
      <c r="K34">
        <v>241569.1</v>
      </c>
      <c r="L34">
        <f t="shared" si="1"/>
        <v>241589.2</v>
      </c>
      <c r="M34">
        <f t="shared" si="2"/>
        <v>241567.5</v>
      </c>
      <c r="N34">
        <f t="shared" si="11"/>
        <v>1</v>
      </c>
      <c r="O34">
        <f t="shared" si="12"/>
        <v>0</v>
      </c>
      <c r="P34">
        <f t="shared" si="14"/>
        <v>0</v>
      </c>
      <c r="Q34">
        <f t="shared" si="13"/>
        <v>1</v>
      </c>
      <c r="R34">
        <f t="shared" si="6"/>
        <v>1</v>
      </c>
      <c r="S34">
        <f t="shared" si="7"/>
        <v>0</v>
      </c>
      <c r="V34" s="1">
        <f t="shared" si="8"/>
        <v>0</v>
      </c>
      <c r="Y34">
        <f t="shared" si="9"/>
        <v>0</v>
      </c>
    </row>
    <row r="35" spans="1:25" x14ac:dyDescent="0.25">
      <c r="A35">
        <f t="shared" si="0"/>
        <v>114511.99</v>
      </c>
      <c r="B35" t="s">
        <v>39</v>
      </c>
      <c r="C35">
        <v>114511.99</v>
      </c>
      <c r="D35">
        <v>114671.09</v>
      </c>
      <c r="E35">
        <v>1505.15</v>
      </c>
      <c r="F35">
        <v>114496.9</v>
      </c>
      <c r="H35">
        <v>115227.99</v>
      </c>
      <c r="I35">
        <v>115389.21</v>
      </c>
      <c r="J35">
        <v>1090.78</v>
      </c>
      <c r="K35">
        <v>115246.7</v>
      </c>
      <c r="L35">
        <f t="shared" si="1"/>
        <v>114671.09</v>
      </c>
      <c r="M35">
        <f t="shared" si="2"/>
        <v>114496.9</v>
      </c>
      <c r="N35">
        <f t="shared" si="11"/>
        <v>1</v>
      </c>
      <c r="O35">
        <f t="shared" si="12"/>
        <v>0</v>
      </c>
      <c r="P35">
        <f t="shared" si="14"/>
        <v>1</v>
      </c>
      <c r="Q35">
        <f t="shared" si="13"/>
        <v>0</v>
      </c>
      <c r="R35">
        <f t="shared" si="6"/>
        <v>1</v>
      </c>
      <c r="S35">
        <f t="shared" si="7"/>
        <v>0</v>
      </c>
      <c r="V35" s="1">
        <f t="shared" si="8"/>
        <v>0</v>
      </c>
      <c r="Y35">
        <f t="shared" si="9"/>
        <v>0</v>
      </c>
    </row>
    <row r="36" spans="1:25" x14ac:dyDescent="0.25">
      <c r="A36">
        <f t="shared" si="0"/>
        <v>241918.34</v>
      </c>
      <c r="B36" t="s">
        <v>40</v>
      </c>
      <c r="C36">
        <v>241918.34</v>
      </c>
      <c r="D36">
        <v>241992.26</v>
      </c>
      <c r="E36">
        <v>1234.6099999999999</v>
      </c>
      <c r="F36">
        <v>241922.1</v>
      </c>
      <c r="H36">
        <v>242022.23</v>
      </c>
      <c r="I36">
        <v>242081.35</v>
      </c>
      <c r="J36">
        <v>964.22</v>
      </c>
      <c r="K36">
        <v>242021.1</v>
      </c>
      <c r="L36">
        <f t="shared" si="1"/>
        <v>241992.26</v>
      </c>
      <c r="M36">
        <f t="shared" si="2"/>
        <v>241922.1</v>
      </c>
      <c r="N36">
        <f t="shared" si="11"/>
        <v>1</v>
      </c>
      <c r="O36">
        <f t="shared" si="12"/>
        <v>0</v>
      </c>
      <c r="P36">
        <f t="shared" si="14"/>
        <v>1</v>
      </c>
      <c r="Q36">
        <f t="shared" si="13"/>
        <v>0</v>
      </c>
      <c r="R36">
        <f t="shared" si="6"/>
        <v>1</v>
      </c>
      <c r="S36">
        <f t="shared" si="7"/>
        <v>0</v>
      </c>
      <c r="V36" s="1">
        <f t="shared" si="8"/>
        <v>0</v>
      </c>
      <c r="Y36">
        <f t="shared" si="9"/>
        <v>0</v>
      </c>
    </row>
    <row r="37" spans="1:25" x14ac:dyDescent="0.25">
      <c r="A37">
        <f t="shared" si="0"/>
        <v>195827.52</v>
      </c>
      <c r="B37" t="s">
        <v>41</v>
      </c>
      <c r="C37">
        <v>195827.52</v>
      </c>
      <c r="D37">
        <v>196148.55</v>
      </c>
      <c r="E37">
        <v>1159.56</v>
      </c>
      <c r="F37">
        <v>195835.5</v>
      </c>
      <c r="H37">
        <v>196590.26</v>
      </c>
      <c r="I37">
        <v>196677.33</v>
      </c>
      <c r="J37">
        <v>753.39</v>
      </c>
      <c r="K37">
        <v>196628.4</v>
      </c>
      <c r="L37">
        <f t="shared" si="1"/>
        <v>196148.55</v>
      </c>
      <c r="M37">
        <f t="shared" si="2"/>
        <v>195835.5</v>
      </c>
      <c r="N37">
        <f t="shared" si="11"/>
        <v>1</v>
      </c>
      <c r="O37">
        <f t="shared" si="12"/>
        <v>0</v>
      </c>
      <c r="P37">
        <f t="shared" si="14"/>
        <v>1</v>
      </c>
      <c r="Q37">
        <f t="shared" si="13"/>
        <v>0</v>
      </c>
      <c r="R37">
        <f t="shared" si="6"/>
        <v>1</v>
      </c>
      <c r="S37">
        <f t="shared" si="7"/>
        <v>0</v>
      </c>
      <c r="V37" s="1">
        <f t="shared" si="8"/>
        <v>0</v>
      </c>
      <c r="Y37">
        <f t="shared" si="9"/>
        <v>0</v>
      </c>
    </row>
    <row r="38" spans="1:25" x14ac:dyDescent="0.25">
      <c r="A38">
        <f t="shared" si="0"/>
        <v>194666.04</v>
      </c>
      <c r="B38" t="s">
        <v>42</v>
      </c>
      <c r="C38">
        <v>194666.04</v>
      </c>
      <c r="D38">
        <v>194897.27</v>
      </c>
      <c r="E38">
        <v>1560.59</v>
      </c>
      <c r="F38">
        <v>194757.9</v>
      </c>
      <c r="H38">
        <v>195592.91</v>
      </c>
      <c r="I38">
        <v>195778.74</v>
      </c>
      <c r="J38">
        <v>1113.3</v>
      </c>
      <c r="K38">
        <v>195668.6</v>
      </c>
      <c r="L38">
        <f t="shared" si="1"/>
        <v>194897.27</v>
      </c>
      <c r="M38">
        <f t="shared" si="2"/>
        <v>194757.9</v>
      </c>
      <c r="N38">
        <f t="shared" si="11"/>
        <v>1</v>
      </c>
      <c r="O38">
        <f t="shared" si="12"/>
        <v>0</v>
      </c>
      <c r="P38">
        <f t="shared" si="14"/>
        <v>1</v>
      </c>
      <c r="Q38">
        <f t="shared" si="13"/>
        <v>0</v>
      </c>
      <c r="R38">
        <f t="shared" si="6"/>
        <v>1</v>
      </c>
      <c r="S38">
        <f t="shared" si="7"/>
        <v>0</v>
      </c>
      <c r="V38" s="1">
        <f t="shared" si="8"/>
        <v>0</v>
      </c>
      <c r="Y38">
        <f t="shared" si="9"/>
        <v>0</v>
      </c>
    </row>
    <row r="39" spans="1:25" x14ac:dyDescent="0.25">
      <c r="A39">
        <f t="shared" si="0"/>
        <v>201236.17</v>
      </c>
      <c r="B39" t="s">
        <v>43</v>
      </c>
      <c r="C39">
        <v>201236.17</v>
      </c>
      <c r="D39">
        <v>201479.97</v>
      </c>
      <c r="E39">
        <v>1418.54</v>
      </c>
      <c r="F39">
        <v>201248.1</v>
      </c>
      <c r="H39">
        <v>202361.4</v>
      </c>
      <c r="I39">
        <v>202624.84</v>
      </c>
      <c r="J39">
        <v>802.98</v>
      </c>
      <c r="K39">
        <v>202387.7</v>
      </c>
      <c r="L39">
        <f t="shared" si="1"/>
        <v>201479.97</v>
      </c>
      <c r="M39">
        <f t="shared" si="2"/>
        <v>201248.1</v>
      </c>
      <c r="N39">
        <f t="shared" si="11"/>
        <v>1</v>
      </c>
      <c r="O39">
        <f t="shared" si="12"/>
        <v>0</v>
      </c>
      <c r="P39">
        <f t="shared" si="14"/>
        <v>1</v>
      </c>
      <c r="Q39">
        <f t="shared" si="13"/>
        <v>0</v>
      </c>
      <c r="R39">
        <f t="shared" si="6"/>
        <v>1</v>
      </c>
      <c r="S39">
        <f t="shared" si="7"/>
        <v>0</v>
      </c>
      <c r="V39" s="1">
        <f t="shared" si="8"/>
        <v>0</v>
      </c>
      <c r="Y39">
        <f t="shared" si="9"/>
        <v>0</v>
      </c>
    </row>
    <row r="40" spans="1:25" x14ac:dyDescent="0.25">
      <c r="A40">
        <f t="shared" si="0"/>
        <v>305978.94</v>
      </c>
      <c r="B40" t="s">
        <v>44</v>
      </c>
      <c r="C40">
        <v>305978.94</v>
      </c>
      <c r="D40">
        <v>306277.37</v>
      </c>
      <c r="E40">
        <v>1495.4</v>
      </c>
      <c r="F40">
        <v>305946.90000000002</v>
      </c>
      <c r="H40">
        <v>306863.21999999997</v>
      </c>
      <c r="I40">
        <v>307195.39</v>
      </c>
      <c r="J40">
        <v>859.22</v>
      </c>
      <c r="K40">
        <v>306857.5</v>
      </c>
      <c r="L40">
        <f t="shared" si="1"/>
        <v>306277.37</v>
      </c>
      <c r="M40">
        <f t="shared" si="2"/>
        <v>305946.90000000002</v>
      </c>
      <c r="N40">
        <f t="shared" si="11"/>
        <v>1</v>
      </c>
      <c r="O40">
        <f t="shared" si="12"/>
        <v>0</v>
      </c>
      <c r="P40">
        <f t="shared" si="14"/>
        <v>1</v>
      </c>
      <c r="Q40">
        <f t="shared" si="13"/>
        <v>0</v>
      </c>
      <c r="R40">
        <f t="shared" si="6"/>
        <v>1</v>
      </c>
      <c r="S40">
        <f t="shared" si="7"/>
        <v>0</v>
      </c>
      <c r="V40" s="1">
        <f t="shared" si="8"/>
        <v>0</v>
      </c>
      <c r="Y40">
        <f t="shared" si="9"/>
        <v>0</v>
      </c>
    </row>
    <row r="41" spans="1:25" x14ac:dyDescent="0.25">
      <c r="A41">
        <f t="shared" si="0"/>
        <v>268297.15000000002</v>
      </c>
      <c r="B41" t="s">
        <v>45</v>
      </c>
      <c r="C41">
        <v>268297.15000000002</v>
      </c>
      <c r="D41">
        <v>268486.71000000002</v>
      </c>
      <c r="E41">
        <v>1498.86</v>
      </c>
      <c r="F41">
        <v>268304.2</v>
      </c>
      <c r="H41">
        <v>269325.40000000002</v>
      </c>
      <c r="I41">
        <v>269797.84999999998</v>
      </c>
      <c r="J41">
        <v>911.16</v>
      </c>
      <c r="K41">
        <v>269316</v>
      </c>
      <c r="L41">
        <f t="shared" si="1"/>
        <v>268486.71000000002</v>
      </c>
      <c r="M41">
        <f t="shared" si="2"/>
        <v>268304.2</v>
      </c>
      <c r="N41">
        <f t="shared" si="11"/>
        <v>1</v>
      </c>
      <c r="O41">
        <f t="shared" si="12"/>
        <v>0</v>
      </c>
      <c r="P41">
        <f t="shared" si="14"/>
        <v>1</v>
      </c>
      <c r="Q41">
        <f t="shared" si="13"/>
        <v>0</v>
      </c>
      <c r="R41">
        <f t="shared" si="6"/>
        <v>1</v>
      </c>
      <c r="S41">
        <f t="shared" si="7"/>
        <v>0</v>
      </c>
      <c r="V41" s="1">
        <f t="shared" si="8"/>
        <v>0</v>
      </c>
      <c r="Y41">
        <f t="shared" si="9"/>
        <v>0</v>
      </c>
    </row>
    <row r="42" spans="1:25" x14ac:dyDescent="0.25">
      <c r="A42">
        <f t="shared" si="0"/>
        <v>347541.02</v>
      </c>
      <c r="B42" t="s">
        <v>46</v>
      </c>
      <c r="C42">
        <v>347541.02</v>
      </c>
      <c r="D42">
        <v>347726.14</v>
      </c>
      <c r="E42">
        <v>1550.98</v>
      </c>
      <c r="F42">
        <v>347537.3</v>
      </c>
      <c r="H42">
        <v>348234.98</v>
      </c>
      <c r="I42">
        <v>348729.28</v>
      </c>
      <c r="J42">
        <v>760.45</v>
      </c>
      <c r="K42">
        <v>348210.1</v>
      </c>
      <c r="L42">
        <f t="shared" si="1"/>
        <v>347726.14</v>
      </c>
      <c r="M42">
        <f t="shared" si="2"/>
        <v>347537.3</v>
      </c>
      <c r="N42">
        <f t="shared" si="11"/>
        <v>1</v>
      </c>
      <c r="O42">
        <f t="shared" si="12"/>
        <v>0</v>
      </c>
      <c r="P42">
        <f t="shared" si="14"/>
        <v>1</v>
      </c>
      <c r="Q42">
        <f t="shared" si="13"/>
        <v>0</v>
      </c>
      <c r="R42">
        <f t="shared" si="6"/>
        <v>1</v>
      </c>
      <c r="S42">
        <f t="shared" si="7"/>
        <v>0</v>
      </c>
      <c r="V42" s="1">
        <f t="shared" si="8"/>
        <v>0</v>
      </c>
      <c r="Y42">
        <f t="shared" si="9"/>
        <v>0</v>
      </c>
    </row>
    <row r="43" spans="1:25" x14ac:dyDescent="0.25">
      <c r="A43">
        <f t="shared" si="0"/>
        <v>362918.37</v>
      </c>
      <c r="B43" t="s">
        <v>47</v>
      </c>
      <c r="C43">
        <v>362918.37</v>
      </c>
      <c r="D43">
        <v>363447.92</v>
      </c>
      <c r="E43">
        <v>1524.87</v>
      </c>
      <c r="F43">
        <v>362944.5</v>
      </c>
      <c r="H43">
        <v>364931.13</v>
      </c>
      <c r="I43">
        <v>365186.78</v>
      </c>
      <c r="J43">
        <v>522.02</v>
      </c>
      <c r="K43">
        <v>364930</v>
      </c>
      <c r="L43">
        <f t="shared" si="1"/>
        <v>363447.92</v>
      </c>
      <c r="M43">
        <f t="shared" si="2"/>
        <v>362944.5</v>
      </c>
      <c r="N43">
        <f t="shared" si="11"/>
        <v>1</v>
      </c>
      <c r="O43">
        <f t="shared" si="12"/>
        <v>0</v>
      </c>
      <c r="P43">
        <f t="shared" si="14"/>
        <v>1</v>
      </c>
      <c r="Q43">
        <f t="shared" si="13"/>
        <v>0</v>
      </c>
      <c r="R43">
        <f t="shared" si="6"/>
        <v>1</v>
      </c>
      <c r="S43">
        <f t="shared" si="7"/>
        <v>0</v>
      </c>
      <c r="V43" s="1">
        <f t="shared" si="8"/>
        <v>0</v>
      </c>
      <c r="Y43">
        <f t="shared" si="9"/>
        <v>0</v>
      </c>
    </row>
    <row r="44" spans="1:25" x14ac:dyDescent="0.25">
      <c r="A44">
        <f t="shared" si="0"/>
        <v>831909.25</v>
      </c>
      <c r="B44" t="s">
        <v>48</v>
      </c>
      <c r="C44">
        <v>831909.25</v>
      </c>
      <c r="D44">
        <v>832832.34</v>
      </c>
      <c r="E44">
        <v>1634.2</v>
      </c>
      <c r="F44">
        <v>831868.7</v>
      </c>
      <c r="H44">
        <v>833530.25</v>
      </c>
      <c r="I44">
        <v>833851</v>
      </c>
      <c r="J44">
        <v>978.63</v>
      </c>
      <c r="K44">
        <v>833556.5</v>
      </c>
      <c r="L44">
        <f t="shared" si="1"/>
        <v>832832.34</v>
      </c>
      <c r="M44">
        <f t="shared" si="2"/>
        <v>831868.7</v>
      </c>
      <c r="N44">
        <f t="shared" si="11"/>
        <v>1</v>
      </c>
      <c r="O44">
        <f t="shared" si="12"/>
        <v>0</v>
      </c>
      <c r="P44">
        <f t="shared" si="14"/>
        <v>1</v>
      </c>
      <c r="Q44">
        <f t="shared" si="13"/>
        <v>0</v>
      </c>
      <c r="R44">
        <f t="shared" si="6"/>
        <v>1</v>
      </c>
      <c r="S44">
        <f t="shared" si="7"/>
        <v>0</v>
      </c>
      <c r="V44" s="1">
        <f t="shared" si="8"/>
        <v>0</v>
      </c>
      <c r="Y44">
        <f t="shared" si="9"/>
        <v>0</v>
      </c>
    </row>
    <row r="45" spans="1:25" x14ac:dyDescent="0.25">
      <c r="A45">
        <f t="shared" si="0"/>
        <v>525307.88</v>
      </c>
      <c r="B45" t="s">
        <v>49</v>
      </c>
      <c r="C45">
        <v>525307.88</v>
      </c>
      <c r="D45">
        <v>526001.26</v>
      </c>
      <c r="E45">
        <v>1458.18</v>
      </c>
      <c r="F45">
        <v>525345.19999999995</v>
      </c>
      <c r="H45">
        <v>527498.68999999994</v>
      </c>
      <c r="I45">
        <v>527838.56000000006</v>
      </c>
      <c r="J45">
        <v>841.69</v>
      </c>
      <c r="K45">
        <v>527551.1</v>
      </c>
      <c r="L45">
        <f t="shared" si="1"/>
        <v>526001.26</v>
      </c>
      <c r="M45">
        <f t="shared" si="2"/>
        <v>525345.19999999995</v>
      </c>
      <c r="N45">
        <f t="shared" si="11"/>
        <v>1</v>
      </c>
      <c r="O45">
        <f t="shared" si="12"/>
        <v>0</v>
      </c>
      <c r="P45">
        <f t="shared" si="14"/>
        <v>1</v>
      </c>
      <c r="Q45">
        <f t="shared" si="13"/>
        <v>0</v>
      </c>
      <c r="R45">
        <f t="shared" si="6"/>
        <v>1</v>
      </c>
      <c r="S45">
        <f t="shared" si="7"/>
        <v>0</v>
      </c>
      <c r="V45" s="1">
        <f t="shared" si="8"/>
        <v>0</v>
      </c>
      <c r="Y45">
        <f t="shared" si="9"/>
        <v>0</v>
      </c>
    </row>
    <row r="46" spans="1:25" x14ac:dyDescent="0.25">
      <c r="A46">
        <f t="shared" si="0"/>
        <v>941062.9</v>
      </c>
      <c r="B46" t="s">
        <v>50</v>
      </c>
      <c r="C46">
        <v>941062.9</v>
      </c>
      <c r="D46">
        <v>942626.92</v>
      </c>
      <c r="E46">
        <v>1549.87</v>
      </c>
      <c r="F46">
        <v>941083</v>
      </c>
      <c r="H46">
        <v>943502.66</v>
      </c>
      <c r="I46">
        <v>944129.5</v>
      </c>
      <c r="J46">
        <v>1146.95</v>
      </c>
      <c r="K46">
        <v>943403.6</v>
      </c>
      <c r="L46">
        <f t="shared" si="1"/>
        <v>942626.92</v>
      </c>
      <c r="M46">
        <f t="shared" si="2"/>
        <v>941083</v>
      </c>
      <c r="N46">
        <f t="shared" si="11"/>
        <v>1</v>
      </c>
      <c r="O46">
        <f t="shared" si="12"/>
        <v>0</v>
      </c>
      <c r="P46">
        <f t="shared" si="14"/>
        <v>1</v>
      </c>
      <c r="Q46">
        <f t="shared" si="13"/>
        <v>0</v>
      </c>
      <c r="R46">
        <f t="shared" si="6"/>
        <v>1</v>
      </c>
      <c r="S46">
        <f t="shared" si="7"/>
        <v>0</v>
      </c>
      <c r="V46" s="1">
        <f t="shared" si="8"/>
        <v>0</v>
      </c>
      <c r="Y46">
        <f t="shared" si="9"/>
        <v>0</v>
      </c>
    </row>
    <row r="47" spans="1:25" x14ac:dyDescent="0.25">
      <c r="A47">
        <f t="shared" si="0"/>
        <v>854676.42</v>
      </c>
      <c r="B47" t="s">
        <v>51</v>
      </c>
      <c r="C47">
        <v>854676.42</v>
      </c>
      <c r="D47">
        <v>855992.45</v>
      </c>
      <c r="E47">
        <v>1270.8399999999999</v>
      </c>
      <c r="F47">
        <v>854579.7</v>
      </c>
      <c r="H47">
        <v>858189.41</v>
      </c>
      <c r="I47">
        <v>859113.37</v>
      </c>
      <c r="J47">
        <v>795.34</v>
      </c>
      <c r="K47">
        <v>858068.8</v>
      </c>
      <c r="L47">
        <f t="shared" si="1"/>
        <v>855992.45</v>
      </c>
      <c r="M47">
        <f t="shared" si="2"/>
        <v>854579.7</v>
      </c>
      <c r="N47">
        <f t="shared" si="11"/>
        <v>1</v>
      </c>
      <c r="O47">
        <f t="shared" si="12"/>
        <v>0</v>
      </c>
      <c r="P47">
        <f t="shared" si="14"/>
        <v>1</v>
      </c>
      <c r="Q47">
        <f t="shared" si="13"/>
        <v>0</v>
      </c>
      <c r="R47">
        <f t="shared" si="6"/>
        <v>1</v>
      </c>
      <c r="S47">
        <f t="shared" si="7"/>
        <v>0</v>
      </c>
      <c r="V47" s="1">
        <f t="shared" si="8"/>
        <v>0</v>
      </c>
      <c r="Y47">
        <f t="shared" si="9"/>
        <v>0</v>
      </c>
    </row>
    <row r="48" spans="1:25" x14ac:dyDescent="0.25">
      <c r="A48">
        <f t="shared" si="0"/>
        <v>1821242.07</v>
      </c>
      <c r="B48" t="s">
        <v>52</v>
      </c>
      <c r="C48">
        <v>1821242.07</v>
      </c>
      <c r="D48">
        <v>1821761.9</v>
      </c>
      <c r="E48">
        <v>1352.98</v>
      </c>
      <c r="F48">
        <v>1821201.3</v>
      </c>
      <c r="H48">
        <v>1822237.08</v>
      </c>
      <c r="I48">
        <v>1822611.12</v>
      </c>
      <c r="J48">
        <v>1000.65</v>
      </c>
      <c r="K48">
        <v>1822170.1</v>
      </c>
      <c r="L48">
        <f t="shared" si="1"/>
        <v>1821761.9</v>
      </c>
      <c r="M48">
        <f t="shared" si="2"/>
        <v>1821201.3</v>
      </c>
      <c r="N48">
        <f t="shared" si="11"/>
        <v>1</v>
      </c>
      <c r="O48">
        <f t="shared" si="12"/>
        <v>0</v>
      </c>
      <c r="P48">
        <f t="shared" si="14"/>
        <v>1</v>
      </c>
      <c r="Q48">
        <f t="shared" si="13"/>
        <v>0</v>
      </c>
      <c r="R48">
        <f t="shared" si="6"/>
        <v>1</v>
      </c>
      <c r="S48">
        <f t="shared" si="7"/>
        <v>0</v>
      </c>
      <c r="V48" s="1">
        <f t="shared" si="8"/>
        <v>0</v>
      </c>
      <c r="Y48">
        <f t="shared" si="9"/>
        <v>0</v>
      </c>
    </row>
    <row r="49" spans="1:27" x14ac:dyDescent="0.25">
      <c r="A49">
        <f t="shared" si="0"/>
        <v>1337100.24</v>
      </c>
      <c r="B49" t="s">
        <v>53</v>
      </c>
      <c r="C49">
        <v>1337100.24</v>
      </c>
      <c r="D49">
        <v>1337628.8700000001</v>
      </c>
      <c r="E49">
        <v>1037.56</v>
      </c>
      <c r="F49">
        <v>1336938.5</v>
      </c>
      <c r="H49">
        <v>1338564.17</v>
      </c>
      <c r="I49">
        <v>1339378.52</v>
      </c>
      <c r="J49">
        <v>910.06</v>
      </c>
      <c r="K49">
        <v>1338383.2</v>
      </c>
      <c r="L49">
        <f t="shared" si="1"/>
        <v>1337628.8700000001</v>
      </c>
      <c r="M49">
        <f t="shared" si="2"/>
        <v>1336938.5</v>
      </c>
      <c r="N49">
        <f t="shared" si="11"/>
        <v>1</v>
      </c>
      <c r="O49">
        <f t="shared" si="12"/>
        <v>0</v>
      </c>
      <c r="P49">
        <f t="shared" si="14"/>
        <v>1</v>
      </c>
      <c r="Q49">
        <f t="shared" si="13"/>
        <v>0</v>
      </c>
      <c r="R49">
        <f t="shared" si="6"/>
        <v>1</v>
      </c>
      <c r="S49">
        <f t="shared" si="7"/>
        <v>0</v>
      </c>
      <c r="V49" s="1">
        <f t="shared" si="8"/>
        <v>0</v>
      </c>
      <c r="Y49">
        <f t="shared" si="9"/>
        <v>0</v>
      </c>
    </row>
    <row r="50" spans="1:27" x14ac:dyDescent="0.25">
      <c r="A50">
        <f t="shared" si="0"/>
        <v>2620042.08</v>
      </c>
      <c r="B50" t="s">
        <v>54</v>
      </c>
      <c r="C50">
        <v>2620042.08</v>
      </c>
      <c r="D50">
        <v>2622073.9300000002</v>
      </c>
      <c r="E50">
        <v>1191.52</v>
      </c>
      <c r="F50">
        <v>2620083.7000000002</v>
      </c>
      <c r="H50">
        <v>2621301.9700000002</v>
      </c>
      <c r="I50">
        <v>2622940.52</v>
      </c>
      <c r="J50">
        <v>1247.81</v>
      </c>
      <c r="K50">
        <v>2621175</v>
      </c>
      <c r="L50">
        <f t="shared" si="1"/>
        <v>2622073.9300000002</v>
      </c>
      <c r="M50">
        <f t="shared" si="2"/>
        <v>2620083.7000000002</v>
      </c>
      <c r="N50">
        <f t="shared" si="11"/>
        <v>1</v>
      </c>
      <c r="O50">
        <f t="shared" si="12"/>
        <v>0</v>
      </c>
      <c r="P50">
        <f t="shared" si="14"/>
        <v>1</v>
      </c>
      <c r="Q50">
        <f t="shared" si="13"/>
        <v>0</v>
      </c>
      <c r="R50">
        <f t="shared" si="6"/>
        <v>1</v>
      </c>
      <c r="S50">
        <f t="shared" si="7"/>
        <v>0</v>
      </c>
      <c r="V50" s="1">
        <f t="shared" si="8"/>
        <v>0</v>
      </c>
      <c r="Y50">
        <f t="shared" si="9"/>
        <v>0</v>
      </c>
    </row>
    <row r="51" spans="1:27" x14ac:dyDescent="0.25">
      <c r="A51">
        <f t="shared" si="0"/>
        <v>2525547.2400000002</v>
      </c>
      <c r="B51" t="s">
        <v>55</v>
      </c>
      <c r="C51">
        <v>2525547.2400000002</v>
      </c>
      <c r="D51">
        <v>2531717.2400000002</v>
      </c>
      <c r="E51">
        <v>1294.6199999999999</v>
      </c>
      <c r="F51">
        <v>2525141.9</v>
      </c>
      <c r="H51">
        <v>2530295.35</v>
      </c>
      <c r="I51">
        <v>2534768.33</v>
      </c>
      <c r="J51">
        <v>813.77</v>
      </c>
      <c r="K51">
        <v>2530025.4</v>
      </c>
      <c r="L51">
        <f t="shared" si="1"/>
        <v>2531717.2400000002</v>
      </c>
      <c r="M51">
        <f t="shared" si="2"/>
        <v>2525141.9</v>
      </c>
      <c r="N51">
        <f t="shared" si="11"/>
        <v>1</v>
      </c>
      <c r="O51">
        <f t="shared" si="12"/>
        <v>0</v>
      </c>
      <c r="P51">
        <f t="shared" si="14"/>
        <v>1</v>
      </c>
      <c r="Q51">
        <f t="shared" si="13"/>
        <v>0</v>
      </c>
      <c r="R51">
        <f t="shared" si="6"/>
        <v>1</v>
      </c>
      <c r="S51">
        <f t="shared" si="7"/>
        <v>0</v>
      </c>
      <c r="V51" s="1">
        <f t="shared" si="8"/>
        <v>0</v>
      </c>
      <c r="Y51">
        <f t="shared" si="9"/>
        <v>0</v>
      </c>
    </row>
    <row r="52" spans="1:27" x14ac:dyDescent="0.25">
      <c r="T52">
        <f>SUM(N28:N51)</f>
        <v>24</v>
      </c>
      <c r="U52">
        <f>SUM(O28:O51)</f>
        <v>2</v>
      </c>
      <c r="V52" s="1">
        <f>SUM(V28:V51)</f>
        <v>2</v>
      </c>
      <c r="W52">
        <f>SUM(P28:P51)</f>
        <v>23</v>
      </c>
      <c r="X52">
        <f>SUM(Q28:Q51)</f>
        <v>3</v>
      </c>
      <c r="Y52">
        <f>SUM(Y28:Y51)</f>
        <v>2</v>
      </c>
      <c r="Z52">
        <f>SUM(R28:R51)</f>
        <v>24</v>
      </c>
      <c r="AA52">
        <f>SUM(S28:S51)</f>
        <v>2</v>
      </c>
    </row>
    <row r="53" spans="1:27" x14ac:dyDescent="0.25">
      <c r="A53">
        <f t="shared" si="0"/>
        <v>43.81</v>
      </c>
      <c r="B53" t="s">
        <v>56</v>
      </c>
      <c r="C53">
        <v>43.81</v>
      </c>
      <c r="D53">
        <v>47.11</v>
      </c>
      <c r="E53">
        <v>960.01</v>
      </c>
      <c r="F53">
        <v>51.2</v>
      </c>
      <c r="H53">
        <v>53.62</v>
      </c>
      <c r="I53">
        <v>57.67</v>
      </c>
      <c r="J53">
        <v>951</v>
      </c>
      <c r="K53">
        <v>54.6</v>
      </c>
      <c r="L53">
        <f t="shared" si="1"/>
        <v>47.11</v>
      </c>
      <c r="M53">
        <f t="shared" si="2"/>
        <v>51.2</v>
      </c>
      <c r="N53">
        <f t="shared" ref="N53:N67" si="15">IF(C53&gt;$A53,0,1)</f>
        <v>1</v>
      </c>
      <c r="O53">
        <f t="shared" ref="O53:O67" si="16">IF(H53&gt;$A53,0,1)</f>
        <v>0</v>
      </c>
      <c r="P53">
        <f>IF(D53&gt;$L53,0,1)</f>
        <v>1</v>
      </c>
      <c r="Q53">
        <f>IF(I53&gt;$L53,0,1)</f>
        <v>0</v>
      </c>
      <c r="R53">
        <f t="shared" si="6"/>
        <v>1</v>
      </c>
      <c r="S53">
        <f t="shared" si="7"/>
        <v>0</v>
      </c>
      <c r="V53" s="1">
        <f t="shared" si="8"/>
        <v>0</v>
      </c>
      <c r="Y53">
        <f t="shared" si="9"/>
        <v>0</v>
      </c>
    </row>
    <row r="54" spans="1:27" x14ac:dyDescent="0.25">
      <c r="A54">
        <f t="shared" si="0"/>
        <v>17</v>
      </c>
      <c r="B54" t="s">
        <v>57</v>
      </c>
      <c r="C54">
        <v>17</v>
      </c>
      <c r="D54">
        <v>19.7</v>
      </c>
      <c r="E54">
        <v>1023</v>
      </c>
      <c r="F54">
        <v>23.2</v>
      </c>
      <c r="H54">
        <v>33</v>
      </c>
      <c r="I54">
        <v>34.93</v>
      </c>
      <c r="J54">
        <v>913.74</v>
      </c>
      <c r="K54">
        <v>33</v>
      </c>
      <c r="L54">
        <f t="shared" si="1"/>
        <v>19.7</v>
      </c>
      <c r="M54">
        <f t="shared" si="2"/>
        <v>23.2</v>
      </c>
      <c r="N54">
        <f t="shared" si="15"/>
        <v>1</v>
      </c>
      <c r="O54">
        <f t="shared" si="16"/>
        <v>0</v>
      </c>
      <c r="P54">
        <f>IF(D54&gt;$L54,0,1)</f>
        <v>1</v>
      </c>
      <c r="Q54">
        <f t="shared" ref="Q54:Q76" si="17">IF(I54&gt;$L54,0,1)</f>
        <v>0</v>
      </c>
      <c r="R54">
        <f t="shared" si="6"/>
        <v>1</v>
      </c>
      <c r="S54">
        <f t="shared" si="7"/>
        <v>0</v>
      </c>
      <c r="V54" s="1">
        <f t="shared" si="8"/>
        <v>0</v>
      </c>
      <c r="Y54">
        <f t="shared" si="9"/>
        <v>0</v>
      </c>
    </row>
    <row r="55" spans="1:27" x14ac:dyDescent="0.25">
      <c r="A55">
        <f t="shared" si="0"/>
        <v>8264.02</v>
      </c>
      <c r="B55" t="s">
        <v>58</v>
      </c>
      <c r="C55">
        <v>8264.02</v>
      </c>
      <c r="D55">
        <v>8342.8799999999992</v>
      </c>
      <c r="E55">
        <v>297.22000000000003</v>
      </c>
      <c r="F55">
        <v>8288.9</v>
      </c>
      <c r="H55">
        <v>8374.39</v>
      </c>
      <c r="I55">
        <v>8599.84</v>
      </c>
      <c r="J55">
        <v>546.64</v>
      </c>
      <c r="K55">
        <v>8341.4</v>
      </c>
      <c r="L55">
        <f t="shared" si="1"/>
        <v>8342.8799999999992</v>
      </c>
      <c r="M55">
        <f t="shared" si="2"/>
        <v>8288.9</v>
      </c>
      <c r="N55">
        <f t="shared" si="15"/>
        <v>1</v>
      </c>
      <c r="O55">
        <f t="shared" si="16"/>
        <v>0</v>
      </c>
      <c r="P55">
        <f>IF(D55&gt;$L55,0,1)</f>
        <v>1</v>
      </c>
      <c r="Q55">
        <f t="shared" si="17"/>
        <v>0</v>
      </c>
      <c r="R55">
        <f t="shared" si="6"/>
        <v>1</v>
      </c>
      <c r="S55">
        <f t="shared" si="7"/>
        <v>0</v>
      </c>
      <c r="V55" s="1">
        <f t="shared" si="8"/>
        <v>0</v>
      </c>
      <c r="Y55">
        <f t="shared" si="9"/>
        <v>0</v>
      </c>
    </row>
    <row r="56" spans="1:27" x14ac:dyDescent="0.25">
      <c r="A56">
        <f t="shared" si="0"/>
        <v>374.6</v>
      </c>
      <c r="B56" t="s">
        <v>59</v>
      </c>
      <c r="C56">
        <v>374.6</v>
      </c>
      <c r="D56">
        <v>604.75</v>
      </c>
      <c r="E56">
        <v>907.73</v>
      </c>
      <c r="F56">
        <v>353.4</v>
      </c>
      <c r="H56">
        <v>916.36</v>
      </c>
      <c r="I56">
        <v>1102.55</v>
      </c>
      <c r="J56">
        <v>776.51</v>
      </c>
      <c r="K56">
        <v>911.2</v>
      </c>
      <c r="L56">
        <f t="shared" si="1"/>
        <v>604.75</v>
      </c>
      <c r="M56">
        <f t="shared" si="2"/>
        <v>353.4</v>
      </c>
      <c r="N56">
        <f t="shared" si="15"/>
        <v>1</v>
      </c>
      <c r="O56">
        <f t="shared" si="16"/>
        <v>0</v>
      </c>
      <c r="P56">
        <f t="shared" ref="P56:P76" si="18">IF(D56&gt;$L56,0,1)</f>
        <v>1</v>
      </c>
      <c r="Q56">
        <f t="shared" si="17"/>
        <v>0</v>
      </c>
      <c r="R56">
        <f t="shared" si="6"/>
        <v>1</v>
      </c>
      <c r="S56">
        <f t="shared" si="7"/>
        <v>0</v>
      </c>
      <c r="V56" s="1">
        <f t="shared" si="8"/>
        <v>0</v>
      </c>
      <c r="Y56">
        <f t="shared" si="9"/>
        <v>0</v>
      </c>
    </row>
    <row r="57" spans="1:27" x14ac:dyDescent="0.25">
      <c r="A57">
        <f t="shared" si="0"/>
        <v>29764.93</v>
      </c>
      <c r="B57" t="s">
        <v>60</v>
      </c>
      <c r="C57">
        <v>29764.93</v>
      </c>
      <c r="D57">
        <v>30018.93</v>
      </c>
      <c r="E57">
        <v>784.09</v>
      </c>
      <c r="F57">
        <v>29791.1</v>
      </c>
      <c r="H57">
        <v>29805.11</v>
      </c>
      <c r="I57">
        <v>30718.48</v>
      </c>
      <c r="J57">
        <v>614.83000000000004</v>
      </c>
      <c r="K57">
        <v>29878.400000000001</v>
      </c>
      <c r="L57">
        <f t="shared" si="1"/>
        <v>30018.93</v>
      </c>
      <c r="M57">
        <f t="shared" si="2"/>
        <v>29791.1</v>
      </c>
      <c r="N57">
        <f t="shared" si="15"/>
        <v>1</v>
      </c>
      <c r="O57">
        <f t="shared" si="16"/>
        <v>0</v>
      </c>
      <c r="P57">
        <f t="shared" si="18"/>
        <v>1</v>
      </c>
      <c r="Q57">
        <f t="shared" si="17"/>
        <v>0</v>
      </c>
      <c r="R57">
        <f t="shared" si="6"/>
        <v>1</v>
      </c>
      <c r="S57">
        <f t="shared" si="7"/>
        <v>0</v>
      </c>
      <c r="V57" s="1">
        <f t="shared" si="8"/>
        <v>0</v>
      </c>
      <c r="Y57">
        <f t="shared" si="9"/>
        <v>0</v>
      </c>
    </row>
    <row r="58" spans="1:27" x14ac:dyDescent="0.25">
      <c r="A58">
        <f t="shared" si="0"/>
        <v>5248.03</v>
      </c>
      <c r="B58" t="s">
        <v>61</v>
      </c>
      <c r="C58">
        <v>5248.03</v>
      </c>
      <c r="D58">
        <v>5707.41</v>
      </c>
      <c r="E58">
        <v>305.23</v>
      </c>
      <c r="F58">
        <v>5193.2</v>
      </c>
      <c r="H58">
        <v>6041.45</v>
      </c>
      <c r="I58">
        <v>6334.04</v>
      </c>
      <c r="J58">
        <v>627.39</v>
      </c>
      <c r="K58">
        <v>6001.5</v>
      </c>
      <c r="L58">
        <f t="shared" si="1"/>
        <v>5707.41</v>
      </c>
      <c r="M58">
        <f t="shared" si="2"/>
        <v>5193.2</v>
      </c>
      <c r="N58">
        <f t="shared" si="15"/>
        <v>1</v>
      </c>
      <c r="O58">
        <f t="shared" si="16"/>
        <v>0</v>
      </c>
      <c r="P58">
        <f t="shared" si="18"/>
        <v>1</v>
      </c>
      <c r="Q58">
        <f t="shared" si="17"/>
        <v>0</v>
      </c>
      <c r="R58">
        <f t="shared" si="6"/>
        <v>1</v>
      </c>
      <c r="S58">
        <f t="shared" si="7"/>
        <v>0</v>
      </c>
      <c r="V58" s="1">
        <f t="shared" si="8"/>
        <v>0</v>
      </c>
      <c r="Y58">
        <f t="shared" si="9"/>
        <v>0</v>
      </c>
    </row>
    <row r="59" spans="1:27" x14ac:dyDescent="0.25">
      <c r="A59">
        <f t="shared" si="0"/>
        <v>82328.800000000003</v>
      </c>
      <c r="B59" t="s">
        <v>62</v>
      </c>
      <c r="C59">
        <v>82328.800000000003</v>
      </c>
      <c r="D59">
        <v>82564.929999999993</v>
      </c>
      <c r="E59">
        <v>1060.08</v>
      </c>
      <c r="F59">
        <v>82390.3</v>
      </c>
      <c r="H59">
        <v>84202.33</v>
      </c>
      <c r="I59">
        <v>84509.32</v>
      </c>
      <c r="J59">
        <v>937.23</v>
      </c>
      <c r="K59">
        <v>84218.7</v>
      </c>
      <c r="L59">
        <f t="shared" si="1"/>
        <v>82564.929999999993</v>
      </c>
      <c r="M59">
        <f t="shared" si="2"/>
        <v>82390.3</v>
      </c>
      <c r="N59">
        <f t="shared" si="15"/>
        <v>1</v>
      </c>
      <c r="O59">
        <f t="shared" si="16"/>
        <v>0</v>
      </c>
      <c r="P59">
        <f t="shared" si="18"/>
        <v>1</v>
      </c>
      <c r="Q59">
        <f t="shared" si="17"/>
        <v>0</v>
      </c>
      <c r="R59">
        <f t="shared" si="6"/>
        <v>1</v>
      </c>
      <c r="S59">
        <f t="shared" si="7"/>
        <v>0</v>
      </c>
      <c r="V59" s="1">
        <f t="shared" si="8"/>
        <v>0</v>
      </c>
      <c r="Y59">
        <f t="shared" si="9"/>
        <v>0</v>
      </c>
    </row>
    <row r="60" spans="1:27" x14ac:dyDescent="0.25">
      <c r="A60">
        <f t="shared" si="0"/>
        <v>43721.55</v>
      </c>
      <c r="B60" t="s">
        <v>63</v>
      </c>
      <c r="C60">
        <v>43721.55</v>
      </c>
      <c r="D60">
        <v>44134.35</v>
      </c>
      <c r="E60">
        <v>1488.81</v>
      </c>
      <c r="F60">
        <v>43829.2</v>
      </c>
      <c r="H60">
        <v>44101.36</v>
      </c>
      <c r="I60">
        <v>44881.120000000003</v>
      </c>
      <c r="J60">
        <v>996.59</v>
      </c>
      <c r="K60">
        <v>44192</v>
      </c>
      <c r="L60">
        <f t="shared" si="1"/>
        <v>44134.35</v>
      </c>
      <c r="M60">
        <f t="shared" si="2"/>
        <v>43829.2</v>
      </c>
      <c r="N60">
        <f t="shared" si="15"/>
        <v>1</v>
      </c>
      <c r="O60">
        <f t="shared" si="16"/>
        <v>0</v>
      </c>
      <c r="P60">
        <f t="shared" si="18"/>
        <v>1</v>
      </c>
      <c r="Q60">
        <f t="shared" si="17"/>
        <v>0</v>
      </c>
      <c r="R60">
        <f t="shared" si="6"/>
        <v>1</v>
      </c>
      <c r="S60">
        <f t="shared" si="7"/>
        <v>0</v>
      </c>
      <c r="V60" s="1">
        <f t="shared" si="8"/>
        <v>0</v>
      </c>
      <c r="Y60">
        <f t="shared" si="9"/>
        <v>0</v>
      </c>
    </row>
    <row r="61" spans="1:27" x14ac:dyDescent="0.25">
      <c r="A61">
        <f t="shared" si="0"/>
        <v>121351.14</v>
      </c>
      <c r="B61" t="s">
        <v>64</v>
      </c>
      <c r="C61">
        <v>121351.14</v>
      </c>
      <c r="D61">
        <v>122520.48</v>
      </c>
      <c r="E61">
        <v>1198</v>
      </c>
      <c r="F61">
        <v>121631.9</v>
      </c>
      <c r="H61">
        <v>124216.9</v>
      </c>
      <c r="I61">
        <v>126007.25</v>
      </c>
      <c r="J61">
        <v>1063.27</v>
      </c>
      <c r="K61">
        <v>124681.1</v>
      </c>
      <c r="L61">
        <f t="shared" si="1"/>
        <v>122520.48</v>
      </c>
      <c r="M61">
        <f t="shared" si="2"/>
        <v>121631.9</v>
      </c>
      <c r="N61">
        <f t="shared" si="15"/>
        <v>1</v>
      </c>
      <c r="O61">
        <f t="shared" si="16"/>
        <v>0</v>
      </c>
      <c r="P61">
        <f t="shared" si="18"/>
        <v>1</v>
      </c>
      <c r="Q61">
        <f t="shared" si="17"/>
        <v>0</v>
      </c>
      <c r="R61">
        <f t="shared" si="6"/>
        <v>1</v>
      </c>
      <c r="S61">
        <f t="shared" si="7"/>
        <v>0</v>
      </c>
      <c r="V61" s="1">
        <f t="shared" si="8"/>
        <v>0</v>
      </c>
      <c r="Y61">
        <f t="shared" si="9"/>
        <v>0</v>
      </c>
    </row>
    <row r="62" spans="1:27" x14ac:dyDescent="0.25">
      <c r="A62">
        <f t="shared" si="0"/>
        <v>42243.96</v>
      </c>
      <c r="B62" t="s">
        <v>65</v>
      </c>
      <c r="C62">
        <v>42243.96</v>
      </c>
      <c r="D62">
        <v>43088.97</v>
      </c>
      <c r="E62">
        <v>1425.05</v>
      </c>
      <c r="F62">
        <v>42307.7</v>
      </c>
      <c r="H62">
        <v>44385.33</v>
      </c>
      <c r="I62">
        <v>44988.74</v>
      </c>
      <c r="J62">
        <v>884.34</v>
      </c>
      <c r="K62">
        <v>44478.400000000001</v>
      </c>
      <c r="L62">
        <f t="shared" si="1"/>
        <v>43088.97</v>
      </c>
      <c r="M62">
        <f t="shared" si="2"/>
        <v>42307.7</v>
      </c>
      <c r="N62">
        <f t="shared" si="15"/>
        <v>1</v>
      </c>
      <c r="O62">
        <f t="shared" si="16"/>
        <v>0</v>
      </c>
      <c r="P62">
        <f t="shared" si="18"/>
        <v>1</v>
      </c>
      <c r="Q62">
        <f t="shared" si="17"/>
        <v>0</v>
      </c>
      <c r="R62">
        <f t="shared" si="6"/>
        <v>1</v>
      </c>
      <c r="S62">
        <f t="shared" si="7"/>
        <v>0</v>
      </c>
      <c r="V62" s="1">
        <f t="shared" si="8"/>
        <v>0</v>
      </c>
      <c r="Y62">
        <f t="shared" si="9"/>
        <v>0</v>
      </c>
    </row>
    <row r="63" spans="1:27" x14ac:dyDescent="0.25">
      <c r="A63">
        <f t="shared" si="0"/>
        <v>36350.620000000003</v>
      </c>
      <c r="B63" t="s">
        <v>66</v>
      </c>
      <c r="C63">
        <v>36350.620000000003</v>
      </c>
      <c r="D63">
        <v>36685.160000000003</v>
      </c>
      <c r="E63">
        <v>1488.08</v>
      </c>
      <c r="F63">
        <v>36448.9</v>
      </c>
      <c r="H63">
        <v>38442.910000000003</v>
      </c>
      <c r="I63">
        <v>38764.93</v>
      </c>
      <c r="J63">
        <v>982.9</v>
      </c>
      <c r="K63">
        <v>38569.599999999999</v>
      </c>
      <c r="L63">
        <f t="shared" si="1"/>
        <v>36685.160000000003</v>
      </c>
      <c r="M63">
        <f t="shared" si="2"/>
        <v>36448.9</v>
      </c>
      <c r="N63">
        <f t="shared" si="15"/>
        <v>1</v>
      </c>
      <c r="O63">
        <f t="shared" si="16"/>
        <v>0</v>
      </c>
      <c r="P63">
        <f t="shared" si="18"/>
        <v>1</v>
      </c>
      <c r="Q63">
        <f t="shared" si="17"/>
        <v>0</v>
      </c>
      <c r="R63">
        <f t="shared" si="6"/>
        <v>1</v>
      </c>
      <c r="S63">
        <f t="shared" si="7"/>
        <v>0</v>
      </c>
      <c r="V63" s="1">
        <f t="shared" si="8"/>
        <v>0</v>
      </c>
      <c r="Y63">
        <f t="shared" si="9"/>
        <v>0</v>
      </c>
    </row>
    <row r="64" spans="1:27" x14ac:dyDescent="0.25">
      <c r="A64">
        <f t="shared" si="0"/>
        <v>35803.85</v>
      </c>
      <c r="B64" t="s">
        <v>67</v>
      </c>
      <c r="C64">
        <v>35803.85</v>
      </c>
      <c r="D64">
        <v>36256.54</v>
      </c>
      <c r="E64">
        <v>1511.16</v>
      </c>
      <c r="F64">
        <v>35853.199999999997</v>
      </c>
      <c r="H64">
        <v>37850.26</v>
      </c>
      <c r="I64">
        <v>38453.21</v>
      </c>
      <c r="J64">
        <v>959.46</v>
      </c>
      <c r="K64">
        <v>37916.199999999997</v>
      </c>
      <c r="L64">
        <f t="shared" si="1"/>
        <v>36256.54</v>
      </c>
      <c r="M64">
        <f t="shared" si="2"/>
        <v>35853.199999999997</v>
      </c>
      <c r="N64">
        <f t="shared" si="15"/>
        <v>1</v>
      </c>
      <c r="O64">
        <f t="shared" si="16"/>
        <v>0</v>
      </c>
      <c r="P64">
        <f t="shared" si="18"/>
        <v>1</v>
      </c>
      <c r="Q64">
        <f t="shared" si="17"/>
        <v>0</v>
      </c>
      <c r="R64">
        <f t="shared" si="6"/>
        <v>1</v>
      </c>
      <c r="S64">
        <f t="shared" si="7"/>
        <v>0</v>
      </c>
      <c r="V64" s="1">
        <f t="shared" si="8"/>
        <v>0</v>
      </c>
      <c r="Y64">
        <f t="shared" si="9"/>
        <v>0</v>
      </c>
    </row>
    <row r="65" spans="1:27" x14ac:dyDescent="0.25">
      <c r="A65">
        <f t="shared" si="0"/>
        <v>119484.04</v>
      </c>
      <c r="B65" t="s">
        <v>68</v>
      </c>
      <c r="C65">
        <v>119484.04</v>
      </c>
      <c r="D65">
        <v>120939.04</v>
      </c>
      <c r="E65">
        <v>1597.88</v>
      </c>
      <c r="F65">
        <v>119510.2</v>
      </c>
      <c r="H65">
        <v>123796.24</v>
      </c>
      <c r="I65">
        <v>125071.3</v>
      </c>
      <c r="J65">
        <v>598.28</v>
      </c>
      <c r="K65">
        <v>123952.6</v>
      </c>
      <c r="L65">
        <f t="shared" si="1"/>
        <v>120939.04</v>
      </c>
      <c r="M65">
        <f t="shared" si="2"/>
        <v>119510.2</v>
      </c>
      <c r="N65">
        <f t="shared" si="15"/>
        <v>1</v>
      </c>
      <c r="O65">
        <f t="shared" si="16"/>
        <v>0</v>
      </c>
      <c r="P65">
        <f t="shared" si="18"/>
        <v>1</v>
      </c>
      <c r="Q65">
        <f t="shared" si="17"/>
        <v>0</v>
      </c>
      <c r="R65">
        <f t="shared" si="6"/>
        <v>1</v>
      </c>
      <c r="S65">
        <f t="shared" si="7"/>
        <v>0</v>
      </c>
      <c r="V65" s="1">
        <f t="shared" si="8"/>
        <v>0</v>
      </c>
      <c r="Y65">
        <f t="shared" si="9"/>
        <v>0</v>
      </c>
    </row>
    <row r="66" spans="1:27" x14ac:dyDescent="0.25">
      <c r="A66">
        <f t="shared" si="0"/>
        <v>114372.69</v>
      </c>
      <c r="B66" t="s">
        <v>69</v>
      </c>
      <c r="C66">
        <v>114372.69</v>
      </c>
      <c r="D66">
        <v>115674.54</v>
      </c>
      <c r="E66">
        <v>1425.97</v>
      </c>
      <c r="F66">
        <v>114316.4</v>
      </c>
      <c r="H66">
        <v>117608.99</v>
      </c>
      <c r="I66">
        <v>118303</v>
      </c>
      <c r="J66">
        <v>932.08</v>
      </c>
      <c r="K66">
        <v>117524.7</v>
      </c>
      <c r="L66">
        <f t="shared" si="1"/>
        <v>115674.54</v>
      </c>
      <c r="M66">
        <f t="shared" si="2"/>
        <v>114316.4</v>
      </c>
      <c r="N66">
        <f t="shared" si="15"/>
        <v>1</v>
      </c>
      <c r="O66">
        <f t="shared" si="16"/>
        <v>0</v>
      </c>
      <c r="P66">
        <f t="shared" si="18"/>
        <v>1</v>
      </c>
      <c r="Q66">
        <f t="shared" si="17"/>
        <v>0</v>
      </c>
      <c r="R66">
        <f t="shared" si="6"/>
        <v>1</v>
      </c>
      <c r="S66">
        <f t="shared" si="7"/>
        <v>0</v>
      </c>
      <c r="V66" s="1">
        <f t="shared" si="8"/>
        <v>0</v>
      </c>
      <c r="Y66">
        <f t="shared" si="9"/>
        <v>0</v>
      </c>
    </row>
    <row r="67" spans="1:27" x14ac:dyDescent="0.25">
      <c r="A67">
        <f t="shared" si="0"/>
        <v>181321.26</v>
      </c>
      <c r="B67" t="s">
        <v>70</v>
      </c>
      <c r="C67">
        <v>181321.26</v>
      </c>
      <c r="D67">
        <v>182234.31</v>
      </c>
      <c r="E67">
        <v>1543.91</v>
      </c>
      <c r="F67">
        <v>181231.9</v>
      </c>
      <c r="H67">
        <v>184237.74</v>
      </c>
      <c r="I67">
        <v>185535.93</v>
      </c>
      <c r="J67">
        <v>696.02</v>
      </c>
      <c r="K67">
        <v>184283.7</v>
      </c>
      <c r="L67">
        <f t="shared" si="1"/>
        <v>182234.31</v>
      </c>
      <c r="M67">
        <f t="shared" si="2"/>
        <v>181231.9</v>
      </c>
      <c r="N67">
        <f t="shared" si="15"/>
        <v>1</v>
      </c>
      <c r="O67">
        <f t="shared" si="16"/>
        <v>0</v>
      </c>
      <c r="P67">
        <f t="shared" si="18"/>
        <v>1</v>
      </c>
      <c r="Q67">
        <f t="shared" si="17"/>
        <v>0</v>
      </c>
      <c r="R67">
        <f t="shared" si="6"/>
        <v>1</v>
      </c>
      <c r="S67">
        <f t="shared" si="7"/>
        <v>0</v>
      </c>
      <c r="V67" s="1">
        <f t="shared" si="8"/>
        <v>0</v>
      </c>
      <c r="Y67">
        <f t="shared" si="9"/>
        <v>0</v>
      </c>
    </row>
    <row r="68" spans="1:27" x14ac:dyDescent="0.25">
      <c r="A68">
        <f t="shared" ref="A68:A76" si="19">MIN(C68,H68)</f>
        <v>180282.84</v>
      </c>
      <c r="B68" t="s">
        <v>71</v>
      </c>
      <c r="C68">
        <v>180282.84</v>
      </c>
      <c r="D68">
        <v>182310.96</v>
      </c>
      <c r="E68">
        <v>1038.2</v>
      </c>
      <c r="F68">
        <v>180337.5</v>
      </c>
      <c r="H68">
        <v>181700.58</v>
      </c>
      <c r="I68">
        <v>184094.06</v>
      </c>
      <c r="J68">
        <v>703.14</v>
      </c>
      <c r="K68">
        <v>181467</v>
      </c>
      <c r="L68">
        <f t="shared" ref="L68:L76" si="20">MIN(D68,I68)</f>
        <v>182310.96</v>
      </c>
      <c r="M68">
        <f t="shared" ref="M68:M76" si="21">MIN(F68,K68)</f>
        <v>180337.5</v>
      </c>
      <c r="N68">
        <f t="shared" ref="N68:N76" si="22">IF(C68&gt;$A68,0,1)</f>
        <v>1</v>
      </c>
      <c r="O68">
        <f t="shared" ref="O68:O76" si="23">IF(H68&gt;$A68,0,1)</f>
        <v>0</v>
      </c>
      <c r="P68">
        <f t="shared" si="18"/>
        <v>1</v>
      </c>
      <c r="Q68">
        <f t="shared" si="17"/>
        <v>0</v>
      </c>
      <c r="R68">
        <f t="shared" ref="R68:R76" si="24">IF(F68&gt;$M68,0,1)</f>
        <v>1</v>
      </c>
      <c r="S68">
        <f t="shared" ref="S68:S76" si="25">IF(K68&gt;$M68,0,1)</f>
        <v>0</v>
      </c>
      <c r="V68" s="1">
        <f t="shared" ref="V68:V76" si="26">IF(N68=O68,1,0)</f>
        <v>0</v>
      </c>
      <c r="Y68">
        <f t="shared" ref="Y68:Y76" si="27">IF(P68=Q68,1,0)</f>
        <v>0</v>
      </c>
    </row>
    <row r="69" spans="1:27" x14ac:dyDescent="0.25">
      <c r="A69">
        <f t="shared" si="19"/>
        <v>425567.18</v>
      </c>
      <c r="B69" t="s">
        <v>72</v>
      </c>
      <c r="C69">
        <v>425567.18</v>
      </c>
      <c r="D69">
        <v>427706.71</v>
      </c>
      <c r="E69">
        <v>1183.53</v>
      </c>
      <c r="F69">
        <v>425714.7</v>
      </c>
      <c r="H69">
        <v>427878.71</v>
      </c>
      <c r="I69">
        <v>431091.18</v>
      </c>
      <c r="J69">
        <v>1071.58</v>
      </c>
      <c r="K69">
        <v>427920.1</v>
      </c>
      <c r="L69">
        <f t="shared" si="20"/>
        <v>427706.71</v>
      </c>
      <c r="M69">
        <f t="shared" si="21"/>
        <v>425714.7</v>
      </c>
      <c r="N69">
        <f t="shared" si="22"/>
        <v>1</v>
      </c>
      <c r="O69">
        <f t="shared" si="23"/>
        <v>0</v>
      </c>
      <c r="P69">
        <f t="shared" si="18"/>
        <v>1</v>
      </c>
      <c r="Q69">
        <f t="shared" si="17"/>
        <v>0</v>
      </c>
      <c r="R69">
        <f t="shared" si="24"/>
        <v>1</v>
      </c>
      <c r="S69">
        <f t="shared" si="25"/>
        <v>0</v>
      </c>
      <c r="V69" s="1">
        <f t="shared" si="26"/>
        <v>0</v>
      </c>
      <c r="Y69">
        <f t="shared" si="27"/>
        <v>0</v>
      </c>
    </row>
    <row r="70" spans="1:27" x14ac:dyDescent="0.25">
      <c r="A70">
        <f t="shared" si="19"/>
        <v>417126.04</v>
      </c>
      <c r="B70" t="s">
        <v>73</v>
      </c>
      <c r="C70">
        <v>417126.04</v>
      </c>
      <c r="D70">
        <v>418412.27</v>
      </c>
      <c r="E70">
        <v>1205.1300000000001</v>
      </c>
      <c r="F70">
        <v>417445.2</v>
      </c>
      <c r="H70">
        <v>417211.7</v>
      </c>
      <c r="I70">
        <v>420119.64</v>
      </c>
      <c r="J70">
        <v>1124.93</v>
      </c>
      <c r="K70">
        <v>417416.7</v>
      </c>
      <c r="L70">
        <f t="shared" si="20"/>
        <v>418412.27</v>
      </c>
      <c r="M70">
        <f t="shared" si="21"/>
        <v>417416.7</v>
      </c>
      <c r="N70">
        <f t="shared" si="22"/>
        <v>1</v>
      </c>
      <c r="O70">
        <f t="shared" si="23"/>
        <v>0</v>
      </c>
      <c r="P70">
        <f t="shared" si="18"/>
        <v>1</v>
      </c>
      <c r="Q70">
        <f t="shared" si="17"/>
        <v>0</v>
      </c>
      <c r="R70">
        <f t="shared" si="24"/>
        <v>0</v>
      </c>
      <c r="S70">
        <f t="shared" si="25"/>
        <v>1</v>
      </c>
      <c r="V70" s="1">
        <f t="shared" si="26"/>
        <v>0</v>
      </c>
      <c r="Y70">
        <f t="shared" si="27"/>
        <v>0</v>
      </c>
    </row>
    <row r="71" spans="1:27" x14ac:dyDescent="0.25">
      <c r="A71">
        <f t="shared" si="19"/>
        <v>531970.13</v>
      </c>
      <c r="B71" t="s">
        <v>74</v>
      </c>
      <c r="C71">
        <v>531970.13</v>
      </c>
      <c r="D71">
        <v>534372.97</v>
      </c>
      <c r="E71">
        <v>1252.19</v>
      </c>
      <c r="F71">
        <v>531943.30000000005</v>
      </c>
      <c r="H71">
        <v>532945.35</v>
      </c>
      <c r="I71">
        <v>535089.04</v>
      </c>
      <c r="J71">
        <v>855.29</v>
      </c>
      <c r="K71">
        <v>532731.19999999995</v>
      </c>
      <c r="L71">
        <f t="shared" si="20"/>
        <v>534372.97</v>
      </c>
      <c r="M71">
        <f t="shared" si="21"/>
        <v>531943.30000000005</v>
      </c>
      <c r="N71">
        <f t="shared" si="22"/>
        <v>1</v>
      </c>
      <c r="O71">
        <f t="shared" si="23"/>
        <v>0</v>
      </c>
      <c r="P71">
        <f t="shared" si="18"/>
        <v>1</v>
      </c>
      <c r="Q71">
        <f t="shared" si="17"/>
        <v>0</v>
      </c>
      <c r="R71">
        <f t="shared" si="24"/>
        <v>1</v>
      </c>
      <c r="S71">
        <f t="shared" si="25"/>
        <v>0</v>
      </c>
      <c r="V71" s="1">
        <f t="shared" si="26"/>
        <v>0</v>
      </c>
      <c r="Y71">
        <f t="shared" si="27"/>
        <v>0</v>
      </c>
    </row>
    <row r="72" spans="1:27" x14ac:dyDescent="0.25">
      <c r="A72">
        <f t="shared" si="19"/>
        <v>532976.86</v>
      </c>
      <c r="B72" t="s">
        <v>75</v>
      </c>
      <c r="C72">
        <v>532976.86</v>
      </c>
      <c r="D72">
        <v>535436.84</v>
      </c>
      <c r="E72">
        <v>1136.58</v>
      </c>
      <c r="F72">
        <v>533136.6</v>
      </c>
      <c r="H72">
        <v>534553.74</v>
      </c>
      <c r="I72">
        <v>537180.14</v>
      </c>
      <c r="J72">
        <v>874.26</v>
      </c>
      <c r="K72">
        <v>534464.19999999995</v>
      </c>
      <c r="L72">
        <f t="shared" si="20"/>
        <v>535436.84</v>
      </c>
      <c r="M72">
        <f t="shared" si="21"/>
        <v>533136.6</v>
      </c>
      <c r="N72">
        <f t="shared" si="22"/>
        <v>1</v>
      </c>
      <c r="O72">
        <f t="shared" si="23"/>
        <v>0</v>
      </c>
      <c r="P72">
        <f t="shared" si="18"/>
        <v>1</v>
      </c>
      <c r="Q72">
        <f t="shared" si="17"/>
        <v>0</v>
      </c>
      <c r="R72">
        <f t="shared" si="24"/>
        <v>1</v>
      </c>
      <c r="S72">
        <f t="shared" si="25"/>
        <v>0</v>
      </c>
      <c r="V72" s="1">
        <f t="shared" si="26"/>
        <v>0</v>
      </c>
      <c r="Y72">
        <f t="shared" si="27"/>
        <v>0</v>
      </c>
    </row>
    <row r="73" spans="1:27" x14ac:dyDescent="0.25">
      <c r="A73">
        <f t="shared" si="19"/>
        <v>1096037.7</v>
      </c>
      <c r="B73" t="s">
        <v>76</v>
      </c>
      <c r="C73">
        <v>1096037.7</v>
      </c>
      <c r="D73">
        <v>1098380.31</v>
      </c>
      <c r="E73">
        <v>1121.46</v>
      </c>
      <c r="F73">
        <v>1095927.7</v>
      </c>
      <c r="H73">
        <v>1096037.7</v>
      </c>
      <c r="I73">
        <v>1098717.51</v>
      </c>
      <c r="J73">
        <v>962.84</v>
      </c>
      <c r="K73">
        <v>1095927.7</v>
      </c>
      <c r="L73">
        <f t="shared" si="20"/>
        <v>1098380.31</v>
      </c>
      <c r="M73">
        <f t="shared" si="21"/>
        <v>1095927.7</v>
      </c>
      <c r="N73">
        <f t="shared" si="22"/>
        <v>1</v>
      </c>
      <c r="O73">
        <f t="shared" si="23"/>
        <v>1</v>
      </c>
      <c r="P73">
        <f t="shared" si="18"/>
        <v>1</v>
      </c>
      <c r="Q73">
        <f t="shared" si="17"/>
        <v>0</v>
      </c>
      <c r="R73">
        <f t="shared" si="24"/>
        <v>1</v>
      </c>
      <c r="S73">
        <f t="shared" si="25"/>
        <v>1</v>
      </c>
      <c r="V73" s="1">
        <f t="shared" si="26"/>
        <v>1</v>
      </c>
      <c r="Y73">
        <f t="shared" si="27"/>
        <v>0</v>
      </c>
    </row>
    <row r="74" spans="1:27" x14ac:dyDescent="0.25">
      <c r="A74">
        <f t="shared" si="19"/>
        <v>1098289.2</v>
      </c>
      <c r="B74" t="s">
        <v>77</v>
      </c>
      <c r="C74">
        <v>1098289.2</v>
      </c>
      <c r="D74">
        <v>1100530.49</v>
      </c>
      <c r="E74">
        <v>1185.06</v>
      </c>
      <c r="F74">
        <v>1098116.3999999999</v>
      </c>
      <c r="H74">
        <v>1098289.2</v>
      </c>
      <c r="I74">
        <v>1101716.24</v>
      </c>
      <c r="J74">
        <v>865.86</v>
      </c>
      <c r="K74">
        <v>1098116.3999999999</v>
      </c>
      <c r="L74">
        <f t="shared" si="20"/>
        <v>1100530.49</v>
      </c>
      <c r="M74">
        <f t="shared" si="21"/>
        <v>1098116.3999999999</v>
      </c>
      <c r="N74">
        <f t="shared" si="22"/>
        <v>1</v>
      </c>
      <c r="O74">
        <f t="shared" si="23"/>
        <v>1</v>
      </c>
      <c r="P74">
        <f t="shared" si="18"/>
        <v>1</v>
      </c>
      <c r="Q74">
        <f t="shared" si="17"/>
        <v>0</v>
      </c>
      <c r="R74">
        <f t="shared" si="24"/>
        <v>1</v>
      </c>
      <c r="S74">
        <f t="shared" si="25"/>
        <v>1</v>
      </c>
      <c r="V74" s="1">
        <f t="shared" si="26"/>
        <v>1</v>
      </c>
      <c r="Y74">
        <f t="shared" si="27"/>
        <v>0</v>
      </c>
    </row>
    <row r="75" spans="1:27" x14ac:dyDescent="0.25">
      <c r="A75">
        <f t="shared" si="19"/>
        <v>2230299.83</v>
      </c>
      <c r="B75" t="s">
        <v>78</v>
      </c>
      <c r="C75">
        <v>2230299.83</v>
      </c>
      <c r="D75">
        <v>2235966.9700000002</v>
      </c>
      <c r="E75">
        <v>856.97</v>
      </c>
      <c r="F75">
        <v>2229970.4</v>
      </c>
      <c r="H75">
        <v>2230299.83</v>
      </c>
      <c r="I75">
        <v>2235980.8199999998</v>
      </c>
      <c r="J75">
        <v>791.12</v>
      </c>
      <c r="K75">
        <v>2229970.4</v>
      </c>
      <c r="L75">
        <f t="shared" si="20"/>
        <v>2235966.9700000002</v>
      </c>
      <c r="M75">
        <f t="shared" si="21"/>
        <v>2229970.4</v>
      </c>
      <c r="N75">
        <f t="shared" si="22"/>
        <v>1</v>
      </c>
      <c r="O75">
        <f t="shared" si="23"/>
        <v>1</v>
      </c>
      <c r="P75">
        <f t="shared" si="18"/>
        <v>1</v>
      </c>
      <c r="Q75">
        <f t="shared" si="17"/>
        <v>0</v>
      </c>
      <c r="R75">
        <f t="shared" si="24"/>
        <v>1</v>
      </c>
      <c r="S75">
        <f t="shared" si="25"/>
        <v>1</v>
      </c>
      <c r="V75" s="1">
        <f t="shared" si="26"/>
        <v>1</v>
      </c>
      <c r="Y75">
        <f t="shared" si="27"/>
        <v>0</v>
      </c>
    </row>
    <row r="76" spans="1:27" x14ac:dyDescent="0.25">
      <c r="A76">
        <f t="shared" si="19"/>
        <v>2239781.38</v>
      </c>
      <c r="B76" t="s">
        <v>79</v>
      </c>
      <c r="C76">
        <v>2239781.38</v>
      </c>
      <c r="D76">
        <v>2244886.98</v>
      </c>
      <c r="E76">
        <v>868.4</v>
      </c>
      <c r="F76">
        <v>2239764.5</v>
      </c>
      <c r="H76">
        <v>2239781.38</v>
      </c>
      <c r="I76">
        <v>2244886.98</v>
      </c>
      <c r="J76">
        <v>896.02</v>
      </c>
      <c r="K76">
        <v>2239764.5</v>
      </c>
      <c r="L76">
        <f t="shared" si="20"/>
        <v>2244886.98</v>
      </c>
      <c r="M76">
        <f t="shared" si="21"/>
        <v>2239764.5</v>
      </c>
      <c r="N76">
        <f t="shared" si="22"/>
        <v>1</v>
      </c>
      <c r="O76">
        <f t="shared" si="23"/>
        <v>1</v>
      </c>
      <c r="P76">
        <f t="shared" si="18"/>
        <v>1</v>
      </c>
      <c r="Q76">
        <f t="shared" si="17"/>
        <v>1</v>
      </c>
      <c r="R76">
        <f t="shared" si="24"/>
        <v>1</v>
      </c>
      <c r="S76">
        <f t="shared" si="25"/>
        <v>1</v>
      </c>
      <c r="V76" s="1">
        <f t="shared" si="26"/>
        <v>1</v>
      </c>
      <c r="Y76">
        <f t="shared" si="27"/>
        <v>1</v>
      </c>
    </row>
    <row r="77" spans="1:27" x14ac:dyDescent="0.25">
      <c r="T77">
        <f>SUM(N53:N76)</f>
        <v>24</v>
      </c>
      <c r="U77">
        <f>SUM(O53:O76)</f>
        <v>4</v>
      </c>
      <c r="V77" s="1">
        <f>SUM(V53:V76)</f>
        <v>4</v>
      </c>
      <c r="W77">
        <f>SUM(P53:P76)</f>
        <v>24</v>
      </c>
      <c r="X77">
        <f>SUM(Q53:Q76)</f>
        <v>1</v>
      </c>
      <c r="Y77">
        <f>SUM(Y53:Y76)</f>
        <v>1</v>
      </c>
      <c r="Z77">
        <f>SUM(R53:R76)</f>
        <v>23</v>
      </c>
      <c r="AA77">
        <f>SUM(S53:S76)</f>
        <v>5</v>
      </c>
    </row>
    <row r="80" spans="1:27" x14ac:dyDescent="0.25">
      <c r="J80" s="2" t="s">
        <v>156</v>
      </c>
      <c r="K80" s="2" t="s">
        <v>157</v>
      </c>
      <c r="L80" s="2">
        <f>T27-V27</f>
        <v>15</v>
      </c>
      <c r="M80" s="2" t="s">
        <v>157</v>
      </c>
      <c r="N80" s="2">
        <f>V27</f>
        <v>6</v>
      </c>
      <c r="O80" s="2" t="s">
        <v>157</v>
      </c>
      <c r="P80" s="2">
        <f>U27-V27</f>
        <v>3</v>
      </c>
      <c r="Q80" s="2" t="s">
        <v>164</v>
      </c>
      <c r="R80" s="2">
        <f>W27-Y27</f>
        <v>16</v>
      </c>
      <c r="S80" s="2" t="s">
        <v>157</v>
      </c>
      <c r="T80" s="2">
        <f>Y27</f>
        <v>5</v>
      </c>
      <c r="U80" s="2" t="s">
        <v>157</v>
      </c>
      <c r="V80" s="2">
        <f>X27-Y27</f>
        <v>3</v>
      </c>
      <c r="W80" s="2"/>
      <c r="X80" s="2"/>
      <c r="Y80" s="2" t="s">
        <v>158</v>
      </c>
    </row>
    <row r="81" spans="10:25" x14ac:dyDescent="0.25">
      <c r="J81" s="2" t="s">
        <v>159</v>
      </c>
      <c r="K81" s="2" t="s">
        <v>157</v>
      </c>
      <c r="L81" s="2">
        <f>T52-V52</f>
        <v>22</v>
      </c>
      <c r="M81" s="2" t="s">
        <v>157</v>
      </c>
      <c r="N81" s="2">
        <f>V52</f>
        <v>2</v>
      </c>
      <c r="O81" s="2" t="s">
        <v>157</v>
      </c>
      <c r="P81" s="2">
        <f>U52-V52</f>
        <v>0</v>
      </c>
      <c r="Q81" s="2" t="s">
        <v>164</v>
      </c>
      <c r="R81" s="2">
        <f>W52-Y52</f>
        <v>21</v>
      </c>
      <c r="S81" s="2" t="s">
        <v>157</v>
      </c>
      <c r="T81" s="2">
        <f>Y52</f>
        <v>2</v>
      </c>
      <c r="U81" s="2" t="s">
        <v>157</v>
      </c>
      <c r="V81" s="2">
        <f>X52-Y52</f>
        <v>1</v>
      </c>
      <c r="W81" s="2"/>
      <c r="X81" s="2"/>
      <c r="Y81" s="2" t="s">
        <v>158</v>
      </c>
    </row>
    <row r="82" spans="10:25" x14ac:dyDescent="0.25">
      <c r="J82" s="2" t="s">
        <v>160</v>
      </c>
      <c r="K82" s="2" t="s">
        <v>157</v>
      </c>
      <c r="L82" s="2">
        <f>T77-V77</f>
        <v>20</v>
      </c>
      <c r="M82" s="2" t="s">
        <v>157</v>
      </c>
      <c r="N82" s="2">
        <f>V77</f>
        <v>4</v>
      </c>
      <c r="O82" s="2" t="s">
        <v>157</v>
      </c>
      <c r="P82" s="2">
        <f>U77-V77</f>
        <v>0</v>
      </c>
      <c r="Q82" s="2" t="s">
        <v>164</v>
      </c>
      <c r="R82" s="2">
        <f>W77-Y77</f>
        <v>23</v>
      </c>
      <c r="S82" s="2" t="s">
        <v>157</v>
      </c>
      <c r="T82" s="2">
        <f>Y77</f>
        <v>1</v>
      </c>
      <c r="U82" s="2" t="s">
        <v>157</v>
      </c>
      <c r="V82" s="2">
        <f>X77-Y77</f>
        <v>0</v>
      </c>
      <c r="W82" s="2"/>
      <c r="X82" s="2"/>
      <c r="Y82" s="2" t="s">
        <v>158</v>
      </c>
    </row>
    <row r="83" spans="10:25" x14ac:dyDescent="0.25">
      <c r="J83" s="2" t="s">
        <v>161</v>
      </c>
      <c r="K83" s="2" t="s">
        <v>157</v>
      </c>
      <c r="L83" s="2">
        <f>SUM(L80:L82)</f>
        <v>57</v>
      </c>
      <c r="M83" s="2" t="s">
        <v>157</v>
      </c>
      <c r="N83" s="2">
        <f>SUM(N80:N82)</f>
        <v>12</v>
      </c>
      <c r="O83" s="2" t="s">
        <v>157</v>
      </c>
      <c r="P83" s="2">
        <f>SUM(P80:P82)</f>
        <v>3</v>
      </c>
      <c r="Q83" s="2" t="s">
        <v>164</v>
      </c>
      <c r="R83" s="2">
        <f>SUM(R80:R82)</f>
        <v>60</v>
      </c>
      <c r="S83" s="2" t="s">
        <v>157</v>
      </c>
      <c r="T83" s="2">
        <f>SUM(T80:T82)</f>
        <v>8</v>
      </c>
      <c r="U83" s="2" t="s">
        <v>157</v>
      </c>
      <c r="V83" s="2">
        <f>SUM(V80:V82)</f>
        <v>4</v>
      </c>
      <c r="W83" s="2"/>
      <c r="X83" s="2"/>
      <c r="Y83" s="2" t="s">
        <v>158</v>
      </c>
    </row>
    <row r="84" spans="10:25" x14ac:dyDescent="0.25">
      <c r="J84" t="s">
        <v>165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0:25" x14ac:dyDescent="0.25">
      <c r="J85" s="2" t="s">
        <v>166</v>
      </c>
      <c r="K85" s="2" t="s">
        <v>167</v>
      </c>
      <c r="L85" s="4">
        <v>1.1554E-10</v>
      </c>
      <c r="M85" s="2"/>
      <c r="N85" s="2"/>
      <c r="O85" s="2"/>
      <c r="P85" s="2"/>
      <c r="Q85" s="2" t="s">
        <v>168</v>
      </c>
      <c r="R85" s="2"/>
      <c r="S85" s="2"/>
      <c r="T85" s="4">
        <v>4.0045000000000002E-11</v>
      </c>
      <c r="U85" s="2"/>
      <c r="V85" s="2"/>
      <c r="W85" s="2"/>
      <c r="X85" s="2"/>
      <c r="Y85" s="2" t="s">
        <v>169</v>
      </c>
    </row>
    <row r="87" spans="10:25" x14ac:dyDescent="0.25">
      <c r="J87" s="1"/>
    </row>
  </sheetData>
  <mergeCells count="5">
    <mergeCell ref="H1:K1"/>
    <mergeCell ref="C1:E1"/>
    <mergeCell ref="T2:U2"/>
    <mergeCell ref="W2:X2"/>
    <mergeCell ref="Z2:AA2"/>
  </mergeCells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0164A-E68D-418C-B7F1-FB13DAE7EF54}">
  <dimension ref="A1:N74"/>
  <sheetViews>
    <sheetView tabSelected="1" topLeftCell="A19" workbookViewId="0">
      <selection activeCell="L61" sqref="L61"/>
    </sheetView>
  </sheetViews>
  <sheetFormatPr defaultRowHeight="14" x14ac:dyDescent="0.25"/>
  <cols>
    <col min="6" max="6" width="13.26953125" customWidth="1"/>
  </cols>
  <sheetData>
    <row r="1" spans="1:11" x14ac:dyDescent="0.25">
      <c r="B1" s="7" t="s">
        <v>174</v>
      </c>
      <c r="C1" s="6"/>
      <c r="D1" s="6"/>
      <c r="E1" s="7" t="s">
        <v>175</v>
      </c>
      <c r="F1" s="6"/>
      <c r="G1" s="6"/>
    </row>
    <row r="2" spans="1:11" x14ac:dyDescent="0.25">
      <c r="B2" s="1" t="s">
        <v>170</v>
      </c>
      <c r="C2" s="1" t="s">
        <v>171</v>
      </c>
      <c r="D2" s="1" t="s">
        <v>172</v>
      </c>
      <c r="E2" s="1" t="s">
        <v>170</v>
      </c>
      <c r="F2" s="1" t="s">
        <v>172</v>
      </c>
      <c r="G2" s="1" t="s">
        <v>173</v>
      </c>
    </row>
    <row r="3" spans="1:11" x14ac:dyDescent="0.25">
      <c r="A3" t="s">
        <v>8</v>
      </c>
      <c r="B3">
        <v>5506</v>
      </c>
      <c r="C3">
        <v>5506</v>
      </c>
      <c r="D3">
        <v>0.06</v>
      </c>
      <c r="E3">
        <v>5506</v>
      </c>
      <c r="F3">
        <v>0.94</v>
      </c>
      <c r="G3">
        <v>0</v>
      </c>
      <c r="I3">
        <f>IF(B3&lt;E3,1,0)</f>
        <v>0</v>
      </c>
      <c r="J3">
        <f>IF(B3=E3,1,0)</f>
        <v>1</v>
      </c>
      <c r="K3">
        <f>IF(B3&gt;E3,1,0)</f>
        <v>0</v>
      </c>
    </row>
    <row r="4" spans="1:11" x14ac:dyDescent="0.25">
      <c r="A4" t="s">
        <v>9</v>
      </c>
      <c r="B4">
        <v>7323</v>
      </c>
      <c r="C4">
        <v>7323</v>
      </c>
      <c r="D4">
        <v>0</v>
      </c>
      <c r="E4">
        <v>7323</v>
      </c>
      <c r="F4">
        <v>108.97</v>
      </c>
      <c r="G4">
        <v>0</v>
      </c>
      <c r="I4">
        <f t="shared" ref="I4:I67" si="0">IF(B4&lt;E4,1,0)</f>
        <v>0</v>
      </c>
      <c r="J4">
        <f t="shared" ref="J4:J67" si="1">IF(B4=E4,1,0)</f>
        <v>1</v>
      </c>
      <c r="K4">
        <f t="shared" ref="K4:K67" si="2">IF(B4&gt;E4,1,0)</f>
        <v>0</v>
      </c>
    </row>
    <row r="5" spans="1:11" x14ac:dyDescent="0.25">
      <c r="A5" t="s">
        <v>10</v>
      </c>
      <c r="B5">
        <v>10014</v>
      </c>
      <c r="C5">
        <v>10014</v>
      </c>
      <c r="D5">
        <v>0.32</v>
      </c>
      <c r="E5">
        <v>10014</v>
      </c>
      <c r="F5">
        <v>4.9400000000000004</v>
      </c>
      <c r="G5">
        <v>0</v>
      </c>
      <c r="I5">
        <f t="shared" si="0"/>
        <v>0</v>
      </c>
      <c r="J5">
        <f t="shared" si="1"/>
        <v>1</v>
      </c>
      <c r="K5">
        <f t="shared" si="2"/>
        <v>0</v>
      </c>
    </row>
    <row r="6" spans="1:11" x14ac:dyDescent="0.25">
      <c r="A6" t="s">
        <v>11</v>
      </c>
      <c r="B6">
        <v>13198</v>
      </c>
      <c r="C6">
        <v>13198</v>
      </c>
      <c r="D6">
        <v>0.35</v>
      </c>
      <c r="E6">
        <v>13198</v>
      </c>
      <c r="F6">
        <v>208.9</v>
      </c>
      <c r="G6">
        <v>0</v>
      </c>
      <c r="I6">
        <f t="shared" si="0"/>
        <v>0</v>
      </c>
      <c r="J6">
        <f t="shared" si="1"/>
        <v>1</v>
      </c>
      <c r="K6">
        <f t="shared" si="2"/>
        <v>0</v>
      </c>
    </row>
    <row r="7" spans="1:11" x14ac:dyDescent="0.25">
      <c r="A7" t="s">
        <v>12</v>
      </c>
      <c r="B7">
        <v>17683</v>
      </c>
      <c r="C7">
        <v>17683</v>
      </c>
      <c r="D7">
        <v>1.53</v>
      </c>
      <c r="E7">
        <v>17683</v>
      </c>
      <c r="F7">
        <v>18.440000000000001</v>
      </c>
      <c r="G7">
        <v>0</v>
      </c>
      <c r="I7">
        <f t="shared" si="0"/>
        <v>0</v>
      </c>
      <c r="J7">
        <f t="shared" si="1"/>
        <v>1</v>
      </c>
      <c r="K7">
        <f t="shared" si="2"/>
        <v>0</v>
      </c>
    </row>
    <row r="8" spans="1:11" x14ac:dyDescent="0.25">
      <c r="A8" t="s">
        <v>13</v>
      </c>
      <c r="B8">
        <v>17132</v>
      </c>
      <c r="C8">
        <v>17132</v>
      </c>
      <c r="D8">
        <v>2.11</v>
      </c>
      <c r="E8">
        <v>17132</v>
      </c>
      <c r="F8">
        <v>1259.9100000000001</v>
      </c>
      <c r="G8">
        <v>0</v>
      </c>
      <c r="I8">
        <f t="shared" si="0"/>
        <v>0</v>
      </c>
      <c r="J8">
        <f t="shared" si="1"/>
        <v>1</v>
      </c>
      <c r="K8">
        <f t="shared" si="2"/>
        <v>0</v>
      </c>
    </row>
    <row r="9" spans="1:11" x14ac:dyDescent="0.25">
      <c r="A9" t="s">
        <v>14</v>
      </c>
      <c r="B9">
        <v>70383</v>
      </c>
      <c r="C9">
        <v>70383</v>
      </c>
      <c r="D9">
        <v>26.74</v>
      </c>
      <c r="E9">
        <v>70383</v>
      </c>
      <c r="F9">
        <v>150.4</v>
      </c>
      <c r="G9">
        <v>0</v>
      </c>
      <c r="I9">
        <f t="shared" si="0"/>
        <v>0</v>
      </c>
      <c r="J9">
        <f t="shared" si="1"/>
        <v>1</v>
      </c>
      <c r="K9">
        <f t="shared" si="2"/>
        <v>0</v>
      </c>
    </row>
    <row r="10" spans="1:11" x14ac:dyDescent="0.25">
      <c r="A10" t="s">
        <v>15</v>
      </c>
      <c r="B10">
        <v>35517</v>
      </c>
      <c r="C10">
        <v>35517</v>
      </c>
      <c r="D10">
        <v>5.0199999999999996</v>
      </c>
      <c r="E10">
        <v>35517</v>
      </c>
      <c r="F10">
        <v>3565.68</v>
      </c>
      <c r="G10">
        <v>1.2838899999999999E-2</v>
      </c>
      <c r="I10">
        <f t="shared" si="0"/>
        <v>0</v>
      </c>
      <c r="J10">
        <f t="shared" si="1"/>
        <v>1</v>
      </c>
      <c r="K10">
        <f t="shared" si="2"/>
        <v>0</v>
      </c>
    </row>
    <row r="11" spans="1:11" x14ac:dyDescent="0.25">
      <c r="A11" t="s">
        <v>16</v>
      </c>
      <c r="B11">
        <v>64508</v>
      </c>
      <c r="C11">
        <v>64508</v>
      </c>
      <c r="D11">
        <v>18.22</v>
      </c>
      <c r="E11">
        <v>64508</v>
      </c>
      <c r="F11">
        <v>66.510000000000005</v>
      </c>
      <c r="G11">
        <v>0</v>
      </c>
      <c r="I11">
        <f t="shared" si="0"/>
        <v>0</v>
      </c>
      <c r="J11">
        <f t="shared" si="1"/>
        <v>1</v>
      </c>
      <c r="K11">
        <f t="shared" si="2"/>
        <v>0</v>
      </c>
    </row>
    <row r="12" spans="1:11" x14ac:dyDescent="0.25">
      <c r="A12" t="s">
        <v>17</v>
      </c>
      <c r="B12">
        <v>62791</v>
      </c>
      <c r="C12">
        <v>62791</v>
      </c>
      <c r="D12">
        <v>12.34</v>
      </c>
      <c r="E12">
        <v>62791</v>
      </c>
      <c r="F12">
        <v>3579.55</v>
      </c>
      <c r="G12">
        <v>6.6278699999999996E-2</v>
      </c>
      <c r="I12">
        <f t="shared" si="0"/>
        <v>0</v>
      </c>
      <c r="J12">
        <f t="shared" si="1"/>
        <v>1</v>
      </c>
      <c r="K12">
        <f t="shared" si="2"/>
        <v>0</v>
      </c>
    </row>
    <row r="13" spans="1:11" x14ac:dyDescent="0.25">
      <c r="A13" t="s">
        <v>18</v>
      </c>
      <c r="B13">
        <v>52850</v>
      </c>
      <c r="C13">
        <v>52850</v>
      </c>
      <c r="D13">
        <v>92.43</v>
      </c>
      <c r="E13">
        <v>52866</v>
      </c>
      <c r="F13">
        <v>3585.99</v>
      </c>
      <c r="G13">
        <v>824.63</v>
      </c>
      <c r="I13">
        <f t="shared" si="0"/>
        <v>1</v>
      </c>
      <c r="J13">
        <f t="shared" si="1"/>
        <v>0</v>
      </c>
      <c r="K13">
        <f t="shared" si="2"/>
        <v>0</v>
      </c>
    </row>
    <row r="14" spans="1:11" x14ac:dyDescent="0.25">
      <c r="A14" t="s">
        <v>19</v>
      </c>
      <c r="B14">
        <v>61223</v>
      </c>
      <c r="C14">
        <v>61223</v>
      </c>
      <c r="D14">
        <v>70.17</v>
      </c>
      <c r="E14">
        <v>62123</v>
      </c>
      <c r="F14">
        <v>3589.46</v>
      </c>
      <c r="G14">
        <v>994.92100000000005</v>
      </c>
      <c r="I14">
        <f t="shared" si="0"/>
        <v>1</v>
      </c>
      <c r="J14">
        <f t="shared" si="1"/>
        <v>0</v>
      </c>
      <c r="K14">
        <f t="shared" si="2"/>
        <v>0</v>
      </c>
    </row>
    <row r="15" spans="1:11" x14ac:dyDescent="0.25">
      <c r="A15" t="s">
        <v>20</v>
      </c>
      <c r="B15">
        <v>88426</v>
      </c>
      <c r="C15">
        <v>88427</v>
      </c>
      <c r="D15">
        <v>148.53</v>
      </c>
      <c r="E15">
        <v>88427</v>
      </c>
      <c r="F15">
        <v>3588.96</v>
      </c>
      <c r="G15">
        <v>5.2147200000000005E-2</v>
      </c>
      <c r="I15">
        <f t="shared" si="0"/>
        <v>1</v>
      </c>
      <c r="J15">
        <f t="shared" si="1"/>
        <v>0</v>
      </c>
      <c r="K15">
        <f t="shared" si="2"/>
        <v>0</v>
      </c>
    </row>
    <row r="16" spans="1:11" x14ac:dyDescent="0.25">
      <c r="A16" t="s">
        <v>21</v>
      </c>
      <c r="B16">
        <v>83009</v>
      </c>
      <c r="C16">
        <v>83009.2</v>
      </c>
      <c r="D16">
        <v>226.38</v>
      </c>
      <c r="E16">
        <v>83024</v>
      </c>
      <c r="F16">
        <v>3590.07</v>
      </c>
      <c r="G16">
        <v>1134.33</v>
      </c>
      <c r="I16">
        <f t="shared" si="0"/>
        <v>1</v>
      </c>
      <c r="J16">
        <f t="shared" si="1"/>
        <v>0</v>
      </c>
      <c r="K16">
        <f t="shared" si="2"/>
        <v>0</v>
      </c>
    </row>
    <row r="17" spans="1:14" x14ac:dyDescent="0.25">
      <c r="A17" t="s">
        <v>22</v>
      </c>
      <c r="B17">
        <v>106645</v>
      </c>
      <c r="C17">
        <v>106646.9</v>
      </c>
      <c r="D17">
        <v>425.22</v>
      </c>
      <c r="E17">
        <v>107496</v>
      </c>
      <c r="F17">
        <v>3590.07</v>
      </c>
      <c r="G17">
        <v>880.59699999999998</v>
      </c>
      <c r="I17">
        <f t="shared" si="0"/>
        <v>1</v>
      </c>
      <c r="J17">
        <f t="shared" si="1"/>
        <v>0</v>
      </c>
      <c r="K17">
        <f t="shared" si="2"/>
        <v>0</v>
      </c>
    </row>
    <row r="18" spans="1:14" x14ac:dyDescent="0.25">
      <c r="A18" t="s">
        <v>23</v>
      </c>
      <c r="B18">
        <v>118276</v>
      </c>
      <c r="C18">
        <v>118282.5</v>
      </c>
      <c r="D18">
        <v>449.1</v>
      </c>
      <c r="E18">
        <v>118911</v>
      </c>
      <c r="F18">
        <v>3590.44</v>
      </c>
      <c r="G18">
        <v>1139.1600000000001</v>
      </c>
      <c r="I18">
        <f t="shared" si="0"/>
        <v>1</v>
      </c>
      <c r="J18">
        <f t="shared" si="1"/>
        <v>0</v>
      </c>
      <c r="K18">
        <f t="shared" si="2"/>
        <v>0</v>
      </c>
    </row>
    <row r="19" spans="1:14" x14ac:dyDescent="0.25">
      <c r="A19" t="s">
        <v>24</v>
      </c>
      <c r="B19">
        <v>259785</v>
      </c>
      <c r="C19">
        <v>259787.5</v>
      </c>
      <c r="D19">
        <v>380.72</v>
      </c>
      <c r="E19">
        <v>259805</v>
      </c>
      <c r="F19">
        <v>3590.46</v>
      </c>
      <c r="G19">
        <v>397.661</v>
      </c>
      <c r="I19">
        <f t="shared" si="0"/>
        <v>1</v>
      </c>
      <c r="J19">
        <f t="shared" si="1"/>
        <v>0</v>
      </c>
      <c r="K19">
        <f t="shared" si="2"/>
        <v>0</v>
      </c>
    </row>
    <row r="20" spans="1:14" x14ac:dyDescent="0.25">
      <c r="A20" t="s">
        <v>25</v>
      </c>
      <c r="B20">
        <v>167080</v>
      </c>
      <c r="C20">
        <v>167084.20000000001</v>
      </c>
      <c r="D20">
        <v>483.17</v>
      </c>
      <c r="E20">
        <v>170956</v>
      </c>
      <c r="F20">
        <v>3591.01</v>
      </c>
      <c r="G20">
        <v>1272.92</v>
      </c>
      <c r="I20">
        <f t="shared" si="0"/>
        <v>1</v>
      </c>
      <c r="J20">
        <f t="shared" si="1"/>
        <v>0</v>
      </c>
      <c r="K20">
        <f t="shared" si="2"/>
        <v>0</v>
      </c>
    </row>
    <row r="21" spans="1:14" x14ac:dyDescent="0.25">
      <c r="A21" t="s">
        <v>26</v>
      </c>
      <c r="B21">
        <v>255983</v>
      </c>
      <c r="C21">
        <v>255999.3</v>
      </c>
      <c r="D21">
        <v>491.62</v>
      </c>
      <c r="E21">
        <v>265100</v>
      </c>
      <c r="F21">
        <v>3587.18</v>
      </c>
      <c r="G21">
        <v>1102.07</v>
      </c>
      <c r="I21">
        <f t="shared" si="0"/>
        <v>1</v>
      </c>
      <c r="J21">
        <f t="shared" si="1"/>
        <v>0</v>
      </c>
      <c r="K21">
        <f t="shared" si="2"/>
        <v>0</v>
      </c>
    </row>
    <row r="22" spans="1:14" x14ac:dyDescent="0.25">
      <c r="A22" t="s">
        <v>27</v>
      </c>
      <c r="B22">
        <v>255826</v>
      </c>
      <c r="C22">
        <v>255838.3</v>
      </c>
      <c r="D22">
        <v>522.61</v>
      </c>
      <c r="E22">
        <v>266034</v>
      </c>
      <c r="F22">
        <v>3591.08</v>
      </c>
      <c r="G22">
        <v>1398.09</v>
      </c>
      <c r="I22">
        <f t="shared" si="0"/>
        <v>1</v>
      </c>
      <c r="J22">
        <f t="shared" si="1"/>
        <v>0</v>
      </c>
      <c r="K22">
        <f t="shared" si="2"/>
        <v>0</v>
      </c>
    </row>
    <row r="23" spans="1:14" x14ac:dyDescent="0.25">
      <c r="A23" t="s">
        <v>28</v>
      </c>
      <c r="B23">
        <v>551678</v>
      </c>
      <c r="C23">
        <v>551707.69999999995</v>
      </c>
      <c r="D23">
        <v>527.29</v>
      </c>
      <c r="E23">
        <v>722316</v>
      </c>
      <c r="F23">
        <v>3592.76</v>
      </c>
      <c r="G23">
        <v>651.56200000000001</v>
      </c>
      <c r="I23">
        <f t="shared" si="0"/>
        <v>1</v>
      </c>
      <c r="J23">
        <f t="shared" si="1"/>
        <v>0</v>
      </c>
      <c r="K23">
        <f t="shared" si="2"/>
        <v>0</v>
      </c>
    </row>
    <row r="24" spans="1:14" x14ac:dyDescent="0.25">
      <c r="A24" t="s">
        <v>29</v>
      </c>
      <c r="B24">
        <v>369103</v>
      </c>
      <c r="C24">
        <v>369140.7</v>
      </c>
      <c r="D24">
        <v>423.61</v>
      </c>
      <c r="E24">
        <v>392307</v>
      </c>
      <c r="F24">
        <v>3593.38</v>
      </c>
      <c r="G24">
        <v>1911.88</v>
      </c>
      <c r="I24">
        <f t="shared" si="0"/>
        <v>1</v>
      </c>
      <c r="J24">
        <f t="shared" si="1"/>
        <v>0</v>
      </c>
      <c r="K24">
        <f t="shared" si="2"/>
        <v>0</v>
      </c>
    </row>
    <row r="25" spans="1:14" x14ac:dyDescent="0.25">
      <c r="A25" t="s">
        <v>30</v>
      </c>
      <c r="B25">
        <v>766271</v>
      </c>
      <c r="C25">
        <v>766329.4</v>
      </c>
      <c r="D25">
        <v>370.76</v>
      </c>
      <c r="E25">
        <v>1941110</v>
      </c>
      <c r="F25">
        <v>3619.44</v>
      </c>
      <c r="G25">
        <v>5926.14</v>
      </c>
      <c r="I25">
        <f t="shared" si="0"/>
        <v>1</v>
      </c>
      <c r="J25">
        <f t="shared" si="1"/>
        <v>0</v>
      </c>
      <c r="K25">
        <f t="shared" si="2"/>
        <v>0</v>
      </c>
    </row>
    <row r="26" spans="1:14" x14ac:dyDescent="0.25">
      <c r="A26" t="s">
        <v>31</v>
      </c>
      <c r="B26">
        <v>739248</v>
      </c>
      <c r="C26">
        <v>739312.6</v>
      </c>
      <c r="D26">
        <v>341.49</v>
      </c>
      <c r="E26">
        <v>1941130</v>
      </c>
      <c r="F26">
        <v>3607.76</v>
      </c>
      <c r="G26">
        <v>13295.9</v>
      </c>
      <c r="I26">
        <f t="shared" si="0"/>
        <v>1</v>
      </c>
      <c r="J26">
        <f t="shared" si="1"/>
        <v>0</v>
      </c>
      <c r="K26">
        <f t="shared" si="2"/>
        <v>0</v>
      </c>
      <c r="L26">
        <f>SUM(I3:I26)</f>
        <v>14</v>
      </c>
      <c r="M26">
        <f>SUM(J3:J26)</f>
        <v>10</v>
      </c>
      <c r="N26">
        <f>SUM(K3:K26)</f>
        <v>0</v>
      </c>
    </row>
    <row r="27" spans="1:14" x14ac:dyDescent="0.25">
      <c r="A27" t="s">
        <v>32</v>
      </c>
      <c r="B27">
        <v>17388</v>
      </c>
      <c r="C27">
        <v>17388</v>
      </c>
      <c r="D27">
        <v>0.28999999999999998</v>
      </c>
      <c r="E27">
        <v>17388</v>
      </c>
      <c r="F27">
        <v>68.81</v>
      </c>
      <c r="G27">
        <v>0</v>
      </c>
      <c r="I27">
        <f t="shared" si="0"/>
        <v>0</v>
      </c>
      <c r="J27">
        <f t="shared" si="1"/>
        <v>1</v>
      </c>
      <c r="K27">
        <f t="shared" si="2"/>
        <v>0</v>
      </c>
    </row>
    <row r="28" spans="1:14" x14ac:dyDescent="0.25">
      <c r="A28" t="s">
        <v>33</v>
      </c>
      <c r="B28">
        <v>23637</v>
      </c>
      <c r="C28">
        <v>23637</v>
      </c>
      <c r="D28">
        <v>0.31</v>
      </c>
      <c r="E28">
        <v>23637</v>
      </c>
      <c r="F28">
        <v>584.19000000000005</v>
      </c>
      <c r="G28">
        <v>0</v>
      </c>
      <c r="I28">
        <f t="shared" si="0"/>
        <v>0</v>
      </c>
      <c r="J28">
        <f t="shared" si="1"/>
        <v>1</v>
      </c>
      <c r="K28">
        <f t="shared" si="2"/>
        <v>0</v>
      </c>
    </row>
    <row r="29" spans="1:14" x14ac:dyDescent="0.25">
      <c r="A29" t="s">
        <v>34</v>
      </c>
      <c r="B29">
        <v>37643</v>
      </c>
      <c r="C29">
        <v>37643</v>
      </c>
      <c r="D29">
        <v>1.05</v>
      </c>
      <c r="E29">
        <v>37643</v>
      </c>
      <c r="F29">
        <v>3590.41</v>
      </c>
      <c r="G29">
        <v>1.5878800000000002E-2</v>
      </c>
      <c r="I29">
        <f t="shared" si="0"/>
        <v>0</v>
      </c>
      <c r="J29">
        <f t="shared" si="1"/>
        <v>1</v>
      </c>
      <c r="K29">
        <f t="shared" si="2"/>
        <v>0</v>
      </c>
    </row>
    <row r="30" spans="1:14" x14ac:dyDescent="0.25">
      <c r="A30" t="s">
        <v>35</v>
      </c>
      <c r="B30">
        <v>50171</v>
      </c>
      <c r="C30">
        <v>50171</v>
      </c>
      <c r="D30">
        <v>1.1299999999999999</v>
      </c>
      <c r="E30">
        <v>50171</v>
      </c>
      <c r="F30">
        <v>3584.39</v>
      </c>
      <c r="G30">
        <v>5.9786199999999998E-2</v>
      </c>
      <c r="I30">
        <f t="shared" si="0"/>
        <v>0</v>
      </c>
      <c r="J30">
        <f t="shared" si="1"/>
        <v>1</v>
      </c>
      <c r="K30">
        <f t="shared" si="2"/>
        <v>0</v>
      </c>
    </row>
    <row r="31" spans="1:14" x14ac:dyDescent="0.25">
      <c r="A31" t="s">
        <v>36</v>
      </c>
      <c r="B31">
        <v>62015</v>
      </c>
      <c r="C31">
        <v>62015.1</v>
      </c>
      <c r="D31">
        <v>72.95</v>
      </c>
      <c r="E31">
        <v>62015</v>
      </c>
      <c r="F31">
        <v>3584.56</v>
      </c>
      <c r="G31">
        <v>3.4121499999999999E-2</v>
      </c>
      <c r="I31">
        <f t="shared" si="0"/>
        <v>0</v>
      </c>
      <c r="J31">
        <f t="shared" si="1"/>
        <v>1</v>
      </c>
      <c r="K31">
        <f t="shared" si="2"/>
        <v>0</v>
      </c>
    </row>
    <row r="32" spans="1:14" x14ac:dyDescent="0.25">
      <c r="A32" t="s">
        <v>37</v>
      </c>
      <c r="B32">
        <v>66644</v>
      </c>
      <c r="C32">
        <v>66644</v>
      </c>
      <c r="D32">
        <v>6.06</v>
      </c>
      <c r="E32">
        <v>66648</v>
      </c>
      <c r="F32">
        <v>3591.35</v>
      </c>
      <c r="G32">
        <v>0.29436000000000001</v>
      </c>
      <c r="I32">
        <f t="shared" si="0"/>
        <v>1</v>
      </c>
      <c r="J32">
        <f t="shared" si="1"/>
        <v>0</v>
      </c>
      <c r="K32">
        <f t="shared" si="2"/>
        <v>0</v>
      </c>
    </row>
    <row r="33" spans="1:11" x14ac:dyDescent="0.25">
      <c r="A33" t="s">
        <v>38</v>
      </c>
      <c r="B33">
        <v>241587</v>
      </c>
      <c r="C33">
        <v>241587</v>
      </c>
      <c r="D33">
        <v>121.97</v>
      </c>
      <c r="E33">
        <v>241588</v>
      </c>
      <c r="F33">
        <v>3589.78</v>
      </c>
      <c r="G33" s="5">
        <v>5.1862699999999998E-3</v>
      </c>
      <c r="I33">
        <f t="shared" si="0"/>
        <v>1</v>
      </c>
      <c r="J33">
        <f t="shared" si="1"/>
        <v>0</v>
      </c>
      <c r="K33">
        <f t="shared" si="2"/>
        <v>0</v>
      </c>
    </row>
    <row r="34" spans="1:11" x14ac:dyDescent="0.25">
      <c r="A34" t="s">
        <v>39</v>
      </c>
      <c r="B34">
        <v>115114</v>
      </c>
      <c r="C34">
        <v>115116.5</v>
      </c>
      <c r="D34">
        <v>417.46</v>
      </c>
      <c r="E34">
        <v>115142</v>
      </c>
      <c r="F34">
        <v>3589.32</v>
      </c>
      <c r="G34">
        <v>9.1185599999999992E-2</v>
      </c>
      <c r="I34">
        <f t="shared" si="0"/>
        <v>1</v>
      </c>
      <c r="J34">
        <f t="shared" si="1"/>
        <v>0</v>
      </c>
      <c r="K34">
        <f t="shared" si="2"/>
        <v>0</v>
      </c>
    </row>
    <row r="35" spans="1:11" x14ac:dyDescent="0.25">
      <c r="A35" t="s">
        <v>40</v>
      </c>
      <c r="B35">
        <v>240743</v>
      </c>
      <c r="C35">
        <v>240743</v>
      </c>
      <c r="D35">
        <v>83.81</v>
      </c>
      <c r="E35">
        <v>240743</v>
      </c>
      <c r="F35">
        <v>3585.51</v>
      </c>
      <c r="G35">
        <v>1.00093E-2</v>
      </c>
      <c r="I35">
        <f t="shared" si="0"/>
        <v>0</v>
      </c>
      <c r="J35">
        <f t="shared" si="1"/>
        <v>1</v>
      </c>
      <c r="K35">
        <f t="shared" si="2"/>
        <v>0</v>
      </c>
    </row>
    <row r="36" spans="1:11" x14ac:dyDescent="0.25">
      <c r="A36" t="s">
        <v>41</v>
      </c>
      <c r="B36">
        <v>195792</v>
      </c>
      <c r="C36">
        <v>195792.8</v>
      </c>
      <c r="D36">
        <v>144.34</v>
      </c>
      <c r="E36">
        <v>195808</v>
      </c>
      <c r="F36">
        <v>3591.11</v>
      </c>
      <c r="G36">
        <v>5.2019200000000002E-2</v>
      </c>
      <c r="I36">
        <f t="shared" si="0"/>
        <v>1</v>
      </c>
      <c r="J36">
        <f t="shared" si="1"/>
        <v>0</v>
      </c>
      <c r="K36">
        <f t="shared" si="2"/>
        <v>0</v>
      </c>
    </row>
    <row r="37" spans="1:11" x14ac:dyDescent="0.25">
      <c r="A37" t="s">
        <v>42</v>
      </c>
      <c r="B37">
        <v>193411</v>
      </c>
      <c r="C37">
        <v>193412.3</v>
      </c>
      <c r="D37">
        <v>336.42</v>
      </c>
      <c r="E37">
        <v>195768</v>
      </c>
      <c r="F37">
        <v>3584.23</v>
      </c>
      <c r="G37">
        <v>946.27300000000002</v>
      </c>
      <c r="I37">
        <f t="shared" si="0"/>
        <v>1</v>
      </c>
      <c r="J37">
        <f t="shared" si="1"/>
        <v>0</v>
      </c>
      <c r="K37">
        <f t="shared" si="2"/>
        <v>0</v>
      </c>
    </row>
    <row r="38" spans="1:11" x14ac:dyDescent="0.25">
      <c r="A38" t="s">
        <v>43</v>
      </c>
      <c r="B38">
        <v>198136</v>
      </c>
      <c r="C38">
        <v>198138.2</v>
      </c>
      <c r="D38">
        <v>273.88</v>
      </c>
      <c r="E38">
        <v>208295</v>
      </c>
      <c r="F38">
        <v>3590.67</v>
      </c>
      <c r="G38">
        <v>1283.54</v>
      </c>
      <c r="I38">
        <f t="shared" si="0"/>
        <v>1</v>
      </c>
      <c r="J38">
        <f t="shared" si="1"/>
        <v>0</v>
      </c>
      <c r="K38">
        <f t="shared" si="2"/>
        <v>0</v>
      </c>
    </row>
    <row r="39" spans="1:11" x14ac:dyDescent="0.25">
      <c r="A39" t="s">
        <v>44</v>
      </c>
      <c r="B39">
        <v>304140</v>
      </c>
      <c r="C39">
        <v>304142.5</v>
      </c>
      <c r="D39">
        <v>360.37</v>
      </c>
      <c r="E39">
        <v>308808</v>
      </c>
      <c r="F39">
        <v>3591.44</v>
      </c>
      <c r="G39">
        <v>762.327</v>
      </c>
      <c r="I39">
        <f t="shared" si="0"/>
        <v>1</v>
      </c>
      <c r="J39">
        <f t="shared" si="1"/>
        <v>0</v>
      </c>
      <c r="K39">
        <f t="shared" si="2"/>
        <v>0</v>
      </c>
    </row>
    <row r="40" spans="1:11" x14ac:dyDescent="0.25">
      <c r="A40" t="s">
        <v>45</v>
      </c>
      <c r="B40">
        <v>263681</v>
      </c>
      <c r="C40">
        <v>263684.8</v>
      </c>
      <c r="D40">
        <v>339.77</v>
      </c>
      <c r="E40">
        <v>274114</v>
      </c>
      <c r="F40">
        <v>3585.09</v>
      </c>
      <c r="G40">
        <v>1291.8200000000002</v>
      </c>
      <c r="I40">
        <f t="shared" si="0"/>
        <v>1</v>
      </c>
      <c r="J40">
        <f t="shared" si="1"/>
        <v>0</v>
      </c>
      <c r="K40">
        <f t="shared" si="2"/>
        <v>0</v>
      </c>
    </row>
    <row r="41" spans="1:11" x14ac:dyDescent="0.25">
      <c r="A41" t="s">
        <v>46</v>
      </c>
      <c r="B41">
        <v>345278</v>
      </c>
      <c r="C41">
        <v>345285.6</v>
      </c>
      <c r="D41">
        <v>415.53</v>
      </c>
      <c r="E41">
        <v>352098</v>
      </c>
      <c r="F41">
        <v>3585.77</v>
      </c>
      <c r="G41">
        <v>963.96899999999994</v>
      </c>
      <c r="I41">
        <f t="shared" si="0"/>
        <v>1</v>
      </c>
      <c r="J41">
        <f t="shared" si="1"/>
        <v>0</v>
      </c>
      <c r="K41">
        <f t="shared" si="2"/>
        <v>0</v>
      </c>
    </row>
    <row r="42" spans="1:11" x14ac:dyDescent="0.25">
      <c r="A42" t="s">
        <v>47</v>
      </c>
      <c r="B42">
        <v>359056</v>
      </c>
      <c r="C42">
        <v>359059.4</v>
      </c>
      <c r="D42">
        <v>535.51</v>
      </c>
      <c r="E42">
        <v>376610</v>
      </c>
      <c r="F42">
        <v>3590.35</v>
      </c>
      <c r="G42">
        <v>1240.25</v>
      </c>
      <c r="I42">
        <f t="shared" si="0"/>
        <v>1</v>
      </c>
      <c r="J42">
        <f t="shared" si="1"/>
        <v>0</v>
      </c>
      <c r="K42">
        <f t="shared" si="2"/>
        <v>0</v>
      </c>
    </row>
    <row r="43" spans="1:11" x14ac:dyDescent="0.25">
      <c r="A43" t="s">
        <v>48</v>
      </c>
      <c r="B43">
        <v>830089</v>
      </c>
      <c r="C43">
        <v>830098.6</v>
      </c>
      <c r="D43">
        <v>446.14</v>
      </c>
      <c r="E43">
        <v>836103</v>
      </c>
      <c r="F43">
        <v>3592.39</v>
      </c>
      <c r="G43">
        <v>456.42399999999998</v>
      </c>
      <c r="I43">
        <f t="shared" si="0"/>
        <v>1</v>
      </c>
      <c r="J43">
        <f t="shared" si="1"/>
        <v>0</v>
      </c>
      <c r="K43">
        <f t="shared" si="2"/>
        <v>0</v>
      </c>
    </row>
    <row r="44" spans="1:11" x14ac:dyDescent="0.25">
      <c r="A44" t="s">
        <v>49</v>
      </c>
      <c r="B44">
        <v>522623</v>
      </c>
      <c r="C44">
        <v>522632.7</v>
      </c>
      <c r="D44">
        <v>503.61</v>
      </c>
      <c r="E44">
        <v>767383</v>
      </c>
      <c r="F44">
        <v>3590.24</v>
      </c>
      <c r="G44">
        <v>1026.1699999999998</v>
      </c>
      <c r="I44">
        <f t="shared" si="0"/>
        <v>1</v>
      </c>
      <c r="J44">
        <f t="shared" si="1"/>
        <v>0</v>
      </c>
      <c r="K44">
        <f t="shared" si="2"/>
        <v>0</v>
      </c>
    </row>
    <row r="45" spans="1:11" x14ac:dyDescent="0.25">
      <c r="A45" t="s">
        <v>50</v>
      </c>
      <c r="B45">
        <v>934177</v>
      </c>
      <c r="C45">
        <v>934202.4</v>
      </c>
      <c r="D45">
        <v>393.82</v>
      </c>
      <c r="E45">
        <v>1161790</v>
      </c>
      <c r="F45">
        <v>3606.79</v>
      </c>
      <c r="G45">
        <v>850.00199999999995</v>
      </c>
      <c r="I45">
        <f t="shared" si="0"/>
        <v>1</v>
      </c>
      <c r="J45">
        <f t="shared" si="1"/>
        <v>0</v>
      </c>
      <c r="K45">
        <f t="shared" si="2"/>
        <v>0</v>
      </c>
    </row>
    <row r="46" spans="1:11" x14ac:dyDescent="0.25">
      <c r="A46" t="s">
        <v>51</v>
      </c>
      <c r="B46">
        <v>845184</v>
      </c>
      <c r="C46">
        <v>845213.5</v>
      </c>
      <c r="D46">
        <v>395.11</v>
      </c>
      <c r="E46">
        <v>2359840</v>
      </c>
      <c r="F46">
        <v>3619</v>
      </c>
      <c r="G46">
        <v>6216.27</v>
      </c>
      <c r="I46">
        <f t="shared" si="0"/>
        <v>1</v>
      </c>
      <c r="J46">
        <f t="shared" si="1"/>
        <v>0</v>
      </c>
      <c r="K46">
        <f t="shared" si="2"/>
        <v>0</v>
      </c>
    </row>
    <row r="47" spans="1:11" x14ac:dyDescent="0.25">
      <c r="A47" t="s">
        <v>52</v>
      </c>
      <c r="B47">
        <v>1808850</v>
      </c>
      <c r="C47">
        <v>1809117</v>
      </c>
      <c r="D47">
        <v>368.17</v>
      </c>
      <c r="E47">
        <v>4221240</v>
      </c>
      <c r="F47">
        <v>3621.28</v>
      </c>
      <c r="G47">
        <v>3598.67</v>
      </c>
      <c r="I47">
        <f t="shared" si="0"/>
        <v>1</v>
      </c>
      <c r="J47">
        <f t="shared" si="1"/>
        <v>0</v>
      </c>
      <c r="K47">
        <f t="shared" si="2"/>
        <v>0</v>
      </c>
    </row>
    <row r="48" spans="1:11" x14ac:dyDescent="0.25">
      <c r="A48" t="s">
        <v>53</v>
      </c>
      <c r="B48">
        <v>1319790</v>
      </c>
      <c r="C48">
        <v>1320270</v>
      </c>
      <c r="D48">
        <v>424.02</v>
      </c>
      <c r="E48">
        <v>4221250</v>
      </c>
      <c r="F48">
        <v>3624.18</v>
      </c>
      <c r="G48">
        <v>6732.1200000000008</v>
      </c>
      <c r="I48">
        <f t="shared" si="0"/>
        <v>1</v>
      </c>
      <c r="J48">
        <f t="shared" si="1"/>
        <v>0</v>
      </c>
      <c r="K48">
        <f t="shared" si="2"/>
        <v>0</v>
      </c>
    </row>
    <row r="49" spans="1:14" x14ac:dyDescent="0.25">
      <c r="A49" t="s">
        <v>54</v>
      </c>
      <c r="B49">
        <v>2595660</v>
      </c>
      <c r="C49">
        <v>2597305</v>
      </c>
      <c r="D49">
        <v>400.3</v>
      </c>
      <c r="E49">
        <v>6608060</v>
      </c>
      <c r="F49">
        <v>3628.42</v>
      </c>
      <c r="G49">
        <v>5948.96</v>
      </c>
      <c r="I49">
        <f t="shared" si="0"/>
        <v>1</v>
      </c>
      <c r="J49">
        <f t="shared" si="1"/>
        <v>0</v>
      </c>
      <c r="K49">
        <f t="shared" si="2"/>
        <v>0</v>
      </c>
    </row>
    <row r="50" spans="1:14" x14ac:dyDescent="0.25">
      <c r="A50" t="s">
        <v>55</v>
      </c>
      <c r="B50">
        <v>2490820</v>
      </c>
      <c r="C50">
        <v>2493656</v>
      </c>
      <c r="D50">
        <v>368.94</v>
      </c>
      <c r="E50">
        <v>6608060</v>
      </c>
      <c r="F50">
        <v>3653.5</v>
      </c>
      <c r="G50">
        <v>13415.8</v>
      </c>
      <c r="I50">
        <f t="shared" si="0"/>
        <v>1</v>
      </c>
      <c r="J50">
        <f t="shared" si="1"/>
        <v>0</v>
      </c>
      <c r="K50">
        <f t="shared" si="2"/>
        <v>0</v>
      </c>
      <c r="L50">
        <f>SUM(I27:I50)</f>
        <v>18</v>
      </c>
      <c r="M50">
        <f>SUM(J27:J50)</f>
        <v>6</v>
      </c>
      <c r="N50">
        <f>SUM(K27:K50)</f>
        <v>0</v>
      </c>
    </row>
    <row r="51" spans="1:14" x14ac:dyDescent="0.25">
      <c r="A51" t="s">
        <v>56</v>
      </c>
      <c r="B51">
        <v>4</v>
      </c>
      <c r="C51">
        <v>5.4</v>
      </c>
      <c r="D51">
        <v>245.66</v>
      </c>
      <c r="E51">
        <v>4</v>
      </c>
      <c r="F51">
        <v>2861.04</v>
      </c>
      <c r="G51">
        <v>0</v>
      </c>
      <c r="I51">
        <f t="shared" si="0"/>
        <v>0</v>
      </c>
      <c r="J51">
        <f t="shared" si="1"/>
        <v>1</v>
      </c>
      <c r="K51">
        <f t="shared" si="2"/>
        <v>0</v>
      </c>
    </row>
    <row r="52" spans="1:14" x14ac:dyDescent="0.25">
      <c r="A52" t="s">
        <v>57</v>
      </c>
      <c r="B52">
        <v>0</v>
      </c>
      <c r="C52">
        <v>0</v>
      </c>
      <c r="D52">
        <v>82.38</v>
      </c>
      <c r="E52">
        <v>0</v>
      </c>
      <c r="F52">
        <v>64.47</v>
      </c>
      <c r="G52">
        <v>0</v>
      </c>
      <c r="I52">
        <f t="shared" si="0"/>
        <v>0</v>
      </c>
      <c r="J52">
        <f t="shared" si="1"/>
        <v>1</v>
      </c>
      <c r="K52">
        <f t="shared" si="2"/>
        <v>0</v>
      </c>
    </row>
    <row r="53" spans="1:14" x14ac:dyDescent="0.25">
      <c r="A53" t="s">
        <v>58</v>
      </c>
      <c r="B53">
        <v>5004</v>
      </c>
      <c r="C53">
        <v>5004</v>
      </c>
      <c r="D53">
        <v>66.599999999999994</v>
      </c>
      <c r="E53">
        <v>8305</v>
      </c>
      <c r="F53">
        <v>3590.26</v>
      </c>
      <c r="G53">
        <v>99.841400000000007</v>
      </c>
      <c r="I53">
        <f t="shared" si="0"/>
        <v>1</v>
      </c>
      <c r="J53">
        <f t="shared" si="1"/>
        <v>0</v>
      </c>
      <c r="K53">
        <f t="shared" si="2"/>
        <v>0</v>
      </c>
    </row>
    <row r="54" spans="1:14" x14ac:dyDescent="0.25">
      <c r="A54" t="s">
        <v>59</v>
      </c>
      <c r="B54">
        <v>67</v>
      </c>
      <c r="C54">
        <v>70.2</v>
      </c>
      <c r="D54">
        <v>276.82</v>
      </c>
      <c r="E54">
        <v>3057</v>
      </c>
      <c r="F54">
        <v>3591.27</v>
      </c>
      <c r="G54">
        <v>99.715100000000007</v>
      </c>
      <c r="I54">
        <f t="shared" si="0"/>
        <v>1</v>
      </c>
      <c r="J54">
        <f t="shared" si="1"/>
        <v>0</v>
      </c>
      <c r="K54">
        <f t="shared" si="2"/>
        <v>0</v>
      </c>
    </row>
    <row r="55" spans="1:14" x14ac:dyDescent="0.25">
      <c r="A55" t="s">
        <v>60</v>
      </c>
      <c r="B55">
        <v>23316</v>
      </c>
      <c r="C55">
        <v>23494.400000000001</v>
      </c>
      <c r="D55">
        <v>207.37</v>
      </c>
      <c r="E55">
        <v>39982</v>
      </c>
      <c r="F55">
        <v>3579.57</v>
      </c>
      <c r="G55">
        <v>947.55400000000009</v>
      </c>
      <c r="I55">
        <f t="shared" si="0"/>
        <v>1</v>
      </c>
      <c r="J55">
        <f t="shared" si="1"/>
        <v>0</v>
      </c>
      <c r="K55">
        <f t="shared" si="2"/>
        <v>0</v>
      </c>
    </row>
    <row r="56" spans="1:14" x14ac:dyDescent="0.25">
      <c r="A56" t="s">
        <v>61</v>
      </c>
      <c r="B56">
        <v>1129</v>
      </c>
      <c r="C56">
        <v>1232.4000000000001</v>
      </c>
      <c r="D56">
        <v>101.79</v>
      </c>
      <c r="E56">
        <v>17639</v>
      </c>
      <c r="F56">
        <v>3591.15</v>
      </c>
      <c r="G56">
        <v>99.873800000000003</v>
      </c>
      <c r="I56">
        <f t="shared" si="0"/>
        <v>1</v>
      </c>
      <c r="J56">
        <f t="shared" si="1"/>
        <v>0</v>
      </c>
      <c r="K56">
        <f t="shared" si="2"/>
        <v>0</v>
      </c>
    </row>
    <row r="57" spans="1:14" x14ac:dyDescent="0.25">
      <c r="A57" t="s">
        <v>62</v>
      </c>
      <c r="B57">
        <v>69462</v>
      </c>
      <c r="C57">
        <v>70075.5</v>
      </c>
      <c r="D57">
        <v>237.84</v>
      </c>
      <c r="E57">
        <v>94796</v>
      </c>
      <c r="F57">
        <v>3589.41</v>
      </c>
      <c r="G57">
        <v>69.33890000000001</v>
      </c>
      <c r="I57">
        <f t="shared" si="0"/>
        <v>1</v>
      </c>
      <c r="J57">
        <f t="shared" si="1"/>
        <v>0</v>
      </c>
      <c r="K57">
        <f t="shared" si="2"/>
        <v>0</v>
      </c>
    </row>
    <row r="58" spans="1:14" x14ac:dyDescent="0.25">
      <c r="A58" t="s">
        <v>63</v>
      </c>
      <c r="B58">
        <v>38012</v>
      </c>
      <c r="C58">
        <v>38214.1</v>
      </c>
      <c r="D58">
        <v>481.76</v>
      </c>
      <c r="E58">
        <v>60446</v>
      </c>
      <c r="F58">
        <v>3589.56</v>
      </c>
      <c r="G58">
        <v>53.274999999999991</v>
      </c>
      <c r="I58">
        <f t="shared" si="0"/>
        <v>1</v>
      </c>
      <c r="J58">
        <f t="shared" si="1"/>
        <v>0</v>
      </c>
      <c r="K58">
        <f t="shared" si="2"/>
        <v>0</v>
      </c>
    </row>
    <row r="59" spans="1:14" x14ac:dyDescent="0.25">
      <c r="A59" t="s">
        <v>64</v>
      </c>
      <c r="B59">
        <v>105510</v>
      </c>
      <c r="C59">
        <v>106402.7</v>
      </c>
      <c r="D59">
        <v>374.6</v>
      </c>
      <c r="E59">
        <v>147167</v>
      </c>
      <c r="F59">
        <v>3590.32</v>
      </c>
      <c r="G59">
        <v>77.848399999999998</v>
      </c>
      <c r="I59">
        <f t="shared" si="0"/>
        <v>1</v>
      </c>
      <c r="J59">
        <f t="shared" si="1"/>
        <v>0</v>
      </c>
      <c r="K59">
        <f t="shared" si="2"/>
        <v>0</v>
      </c>
    </row>
    <row r="60" spans="1:14" x14ac:dyDescent="0.25">
      <c r="A60" t="s">
        <v>65</v>
      </c>
      <c r="B60">
        <v>36884</v>
      </c>
      <c r="C60">
        <v>36896.5</v>
      </c>
      <c r="D60">
        <v>498.69</v>
      </c>
      <c r="E60">
        <v>125709</v>
      </c>
      <c r="F60">
        <v>3591.31</v>
      </c>
      <c r="G60">
        <v>74.704800000000006</v>
      </c>
      <c r="I60">
        <f t="shared" si="0"/>
        <v>1</v>
      </c>
      <c r="J60">
        <f t="shared" si="1"/>
        <v>0</v>
      </c>
      <c r="K60">
        <f t="shared" si="2"/>
        <v>0</v>
      </c>
    </row>
    <row r="61" spans="1:14" x14ac:dyDescent="0.25">
      <c r="A61" t="s">
        <v>66</v>
      </c>
      <c r="B61">
        <v>30898</v>
      </c>
      <c r="C61">
        <v>30901.4</v>
      </c>
      <c r="D61">
        <v>321.44</v>
      </c>
      <c r="E61">
        <v>56571</v>
      </c>
      <c r="F61">
        <v>3590.32</v>
      </c>
      <c r="G61">
        <v>4855.25</v>
      </c>
      <c r="I61">
        <f t="shared" si="0"/>
        <v>1</v>
      </c>
      <c r="J61">
        <f t="shared" si="1"/>
        <v>0</v>
      </c>
      <c r="K61">
        <f t="shared" si="2"/>
        <v>0</v>
      </c>
    </row>
    <row r="62" spans="1:14" x14ac:dyDescent="0.25">
      <c r="A62" t="s">
        <v>67</v>
      </c>
      <c r="B62">
        <v>30874</v>
      </c>
      <c r="C62">
        <v>30881.1</v>
      </c>
      <c r="D62">
        <v>451.88</v>
      </c>
      <c r="E62">
        <v>397378</v>
      </c>
      <c r="F62">
        <v>3590.26</v>
      </c>
      <c r="G62">
        <v>1051.9399999999998</v>
      </c>
      <c r="I62">
        <f t="shared" si="0"/>
        <v>1</v>
      </c>
      <c r="J62">
        <f t="shared" si="1"/>
        <v>0</v>
      </c>
      <c r="K62">
        <f t="shared" si="2"/>
        <v>0</v>
      </c>
    </row>
    <row r="63" spans="1:14" x14ac:dyDescent="0.25">
      <c r="A63" t="s">
        <v>68</v>
      </c>
      <c r="B63">
        <v>103916</v>
      </c>
      <c r="C63">
        <v>104440.2</v>
      </c>
      <c r="D63">
        <v>466.43</v>
      </c>
      <c r="E63">
        <v>184767</v>
      </c>
      <c r="F63">
        <v>3584.97</v>
      </c>
      <c r="G63">
        <v>1797.29</v>
      </c>
      <c r="I63">
        <f t="shared" si="0"/>
        <v>1</v>
      </c>
      <c r="J63">
        <f t="shared" si="1"/>
        <v>0</v>
      </c>
      <c r="K63">
        <f t="shared" si="2"/>
        <v>0</v>
      </c>
    </row>
    <row r="64" spans="1:14" x14ac:dyDescent="0.25">
      <c r="A64" t="s">
        <v>69</v>
      </c>
      <c r="B64">
        <v>99385</v>
      </c>
      <c r="C64">
        <v>99759.2</v>
      </c>
      <c r="D64">
        <v>451.71</v>
      </c>
      <c r="E64">
        <v>523792</v>
      </c>
      <c r="F64">
        <v>3591.08</v>
      </c>
      <c r="G64">
        <v>960.49599999999998</v>
      </c>
      <c r="I64">
        <f t="shared" si="0"/>
        <v>1</v>
      </c>
      <c r="J64">
        <f t="shared" si="1"/>
        <v>0</v>
      </c>
      <c r="K64">
        <f t="shared" si="2"/>
        <v>0</v>
      </c>
    </row>
    <row r="65" spans="1:14" x14ac:dyDescent="0.25">
      <c r="A65" t="s">
        <v>70</v>
      </c>
      <c r="B65">
        <v>165861</v>
      </c>
      <c r="C65">
        <v>166771.20000000001</v>
      </c>
      <c r="D65">
        <v>445.2</v>
      </c>
      <c r="E65">
        <v>254085</v>
      </c>
      <c r="F65">
        <v>3589.99</v>
      </c>
      <c r="G65">
        <v>1694.19</v>
      </c>
      <c r="I65">
        <f t="shared" si="0"/>
        <v>1</v>
      </c>
      <c r="J65">
        <f t="shared" si="1"/>
        <v>0</v>
      </c>
      <c r="K65">
        <f t="shared" si="2"/>
        <v>0</v>
      </c>
    </row>
    <row r="66" spans="1:14" x14ac:dyDescent="0.25">
      <c r="A66" t="s">
        <v>71</v>
      </c>
      <c r="B66">
        <v>163852</v>
      </c>
      <c r="C66">
        <v>164889.29999999999</v>
      </c>
      <c r="D66">
        <v>318.18</v>
      </c>
      <c r="E66">
        <v>248570</v>
      </c>
      <c r="F66">
        <v>3585.86</v>
      </c>
      <c r="G66">
        <v>2411.2600000000002</v>
      </c>
      <c r="I66">
        <f t="shared" si="0"/>
        <v>1</v>
      </c>
      <c r="J66">
        <f t="shared" si="1"/>
        <v>0</v>
      </c>
      <c r="K66">
        <f t="shared" si="2"/>
        <v>0</v>
      </c>
    </row>
    <row r="67" spans="1:14" x14ac:dyDescent="0.25">
      <c r="A67" t="s">
        <v>72</v>
      </c>
      <c r="B67">
        <v>399607</v>
      </c>
      <c r="C67">
        <v>400781.9</v>
      </c>
      <c r="D67">
        <v>494.33</v>
      </c>
      <c r="E67">
        <v>1487770</v>
      </c>
      <c r="F67">
        <v>3591.61</v>
      </c>
      <c r="G67">
        <v>473.904</v>
      </c>
      <c r="I67">
        <f t="shared" si="0"/>
        <v>1</v>
      </c>
      <c r="J67">
        <f t="shared" si="1"/>
        <v>0</v>
      </c>
      <c r="K67">
        <f t="shared" si="2"/>
        <v>0</v>
      </c>
    </row>
    <row r="68" spans="1:14" x14ac:dyDescent="0.25">
      <c r="A68" t="s">
        <v>73</v>
      </c>
      <c r="B68">
        <v>389848</v>
      </c>
      <c r="C68">
        <v>391233.6</v>
      </c>
      <c r="D68">
        <v>360.69</v>
      </c>
      <c r="E68">
        <v>1441470</v>
      </c>
      <c r="F68">
        <v>3592.03</v>
      </c>
      <c r="G68">
        <v>649.23299999999995</v>
      </c>
      <c r="I68">
        <f t="shared" ref="I68:I74" si="3">IF(B68&lt;E68,1,0)</f>
        <v>1</v>
      </c>
      <c r="J68">
        <f t="shared" ref="J68:J74" si="4">IF(B68=E68,1,0)</f>
        <v>0</v>
      </c>
      <c r="K68">
        <f t="shared" ref="K68:K74" si="5">IF(B68&gt;E68,1,0)</f>
        <v>0</v>
      </c>
    </row>
    <row r="69" spans="1:14" x14ac:dyDescent="0.25">
      <c r="A69" t="s">
        <v>74</v>
      </c>
      <c r="B69">
        <v>504997</v>
      </c>
      <c r="C69">
        <v>505783</v>
      </c>
      <c r="D69">
        <v>325.75</v>
      </c>
      <c r="E69">
        <v>2179280</v>
      </c>
      <c r="F69">
        <v>3590.95</v>
      </c>
      <c r="G69">
        <v>646.94000000000005</v>
      </c>
      <c r="I69">
        <f t="shared" si="3"/>
        <v>1</v>
      </c>
      <c r="J69">
        <f t="shared" si="4"/>
        <v>0</v>
      </c>
      <c r="K69">
        <f t="shared" si="5"/>
        <v>0</v>
      </c>
    </row>
    <row r="70" spans="1:14" x14ac:dyDescent="0.25">
      <c r="A70" t="s">
        <v>75</v>
      </c>
      <c r="B70">
        <v>504312</v>
      </c>
      <c r="C70">
        <v>506394.5</v>
      </c>
      <c r="D70">
        <v>397.45</v>
      </c>
      <c r="E70">
        <v>2359850</v>
      </c>
      <c r="F70">
        <v>3612.39</v>
      </c>
      <c r="G70">
        <v>7516.09</v>
      </c>
      <c r="I70">
        <f t="shared" si="3"/>
        <v>1</v>
      </c>
      <c r="J70">
        <f t="shared" si="4"/>
        <v>0</v>
      </c>
      <c r="K70">
        <f t="shared" si="5"/>
        <v>0</v>
      </c>
    </row>
    <row r="71" spans="1:14" x14ac:dyDescent="0.25">
      <c r="A71" t="s">
        <v>76</v>
      </c>
      <c r="B71">
        <v>1053370</v>
      </c>
      <c r="C71">
        <v>1056179</v>
      </c>
      <c r="D71">
        <v>328.12</v>
      </c>
      <c r="E71">
        <v>4221250</v>
      </c>
      <c r="F71">
        <v>3622.72</v>
      </c>
      <c r="G71">
        <v>4674.34</v>
      </c>
      <c r="I71">
        <f t="shared" si="3"/>
        <v>1</v>
      </c>
      <c r="J71">
        <f t="shared" si="4"/>
        <v>0</v>
      </c>
      <c r="K71">
        <f t="shared" si="5"/>
        <v>0</v>
      </c>
    </row>
    <row r="72" spans="1:14" x14ac:dyDescent="0.25">
      <c r="A72" t="s">
        <v>77</v>
      </c>
      <c r="B72">
        <v>1055420</v>
      </c>
      <c r="C72">
        <v>1057383</v>
      </c>
      <c r="D72">
        <v>382.22</v>
      </c>
      <c r="E72">
        <v>4221250</v>
      </c>
      <c r="F72">
        <v>3598.45</v>
      </c>
      <c r="G72">
        <v>7220.19</v>
      </c>
      <c r="I72">
        <f t="shared" si="3"/>
        <v>1</v>
      </c>
      <c r="J72">
        <f t="shared" si="4"/>
        <v>0</v>
      </c>
      <c r="K72">
        <f t="shared" si="5"/>
        <v>0</v>
      </c>
    </row>
    <row r="73" spans="1:14" x14ac:dyDescent="0.25">
      <c r="A73" t="s">
        <v>78</v>
      </c>
      <c r="B73">
        <v>2168350</v>
      </c>
      <c r="C73">
        <v>2171574</v>
      </c>
      <c r="D73">
        <v>279.55</v>
      </c>
      <c r="E73">
        <v>6608070</v>
      </c>
      <c r="F73">
        <v>3602.39</v>
      </c>
      <c r="G73">
        <v>6468.3899999999994</v>
      </c>
      <c r="I73">
        <f t="shared" si="3"/>
        <v>1</v>
      </c>
      <c r="J73">
        <f t="shared" si="4"/>
        <v>0</v>
      </c>
      <c r="K73">
        <f t="shared" si="5"/>
        <v>0</v>
      </c>
    </row>
    <row r="74" spans="1:14" x14ac:dyDescent="0.25">
      <c r="A74" t="s">
        <v>79</v>
      </c>
      <c r="B74">
        <v>2175300</v>
      </c>
      <c r="C74">
        <v>2179649</v>
      </c>
      <c r="D74">
        <v>367.85</v>
      </c>
      <c r="E74">
        <v>6608070</v>
      </c>
      <c r="F74">
        <v>3639.16</v>
      </c>
      <c r="G74">
        <v>14122.6</v>
      </c>
      <c r="I74">
        <f t="shared" si="3"/>
        <v>1</v>
      </c>
      <c r="J74">
        <f t="shared" si="4"/>
        <v>0</v>
      </c>
      <c r="K74">
        <f t="shared" si="5"/>
        <v>0</v>
      </c>
      <c r="L74">
        <f>SUM(I51:I74)</f>
        <v>22</v>
      </c>
      <c r="M74">
        <f>SUM(J51:J74)</f>
        <v>2</v>
      </c>
      <c r="N74">
        <f>SUM(K51:K74)</f>
        <v>0</v>
      </c>
    </row>
  </sheetData>
  <mergeCells count="2">
    <mergeCell ref="B1:D1"/>
    <mergeCell ref="E1:G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BaselinePolicy</vt:lpstr>
      <vt:lpstr>SimHGS Vs MVND</vt:lpstr>
      <vt:lpstr>HGSVsMILP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</dc:creator>
  <cp:lastModifiedBy>伟 杨</cp:lastModifiedBy>
  <dcterms:created xsi:type="dcterms:W3CDTF">2023-05-12T11:15:00Z</dcterms:created>
  <dcterms:modified xsi:type="dcterms:W3CDTF">2026-09-23T11:28:41Z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