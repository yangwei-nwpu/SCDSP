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PaperPubilished\IJOC-SCDSP-2026\CodeandData\Results\"/>
    </mc:Choice>
  </mc:AlternateContent>
  <xr:revisionPtr revIDLastSave="0" documentId="13_ncr:1_{4170375D-E824-4AA5-8253-88D74DE8F986}" xr6:coauthVersionLast="47" xr6:coauthVersionMax="47" xr10:uidLastSave="{00000000-0000-0000-0000-000000000000}"/>
  <bookViews>
    <workbookView xWindow="13450" yWindow="1830" windowWidth="32060" windowHeight="19150" tabRatio="770" activeTab="2" xr2:uid="{00000000-000D-0000-FFFF-FFFF00000000}"/>
  </bookViews>
  <sheets>
    <sheet name="MultiStartTime" sheetId="2" r:id="rId1"/>
    <sheet name="CutOff16Dec24" sheetId="14" r:id="rId2"/>
    <sheet name="FastEvaluation" sheetId="22" r:id="rId3"/>
    <sheet name="resultOnlatexABC16Dec24" sheetId="19" r:id="rId4"/>
    <sheet name="resultOnlatex2ABC16Dec24" sheetId="21" r:id="rId5"/>
    <sheet name="WorstCasePerformance" sheetId="10" r:id="rId6"/>
  </sheets>
  <calcPr calcId="191029"/>
</workbook>
</file>

<file path=xl/calcChain.xml><?xml version="1.0" encoding="utf-8"?>
<calcChain xmlns="http://schemas.openxmlformats.org/spreadsheetml/2006/main">
  <c r="V76" i="22" l="1"/>
  <c r="S76" i="22"/>
  <c r="R76" i="22"/>
  <c r="P76" i="22"/>
  <c r="Y76" i="22" s="1"/>
  <c r="O76" i="22"/>
  <c r="N76" i="22"/>
  <c r="M76" i="22"/>
  <c r="L76" i="22"/>
  <c r="Q76" i="22" s="1"/>
  <c r="A76" i="22"/>
  <c r="M75" i="22"/>
  <c r="L75" i="22"/>
  <c r="A75" i="22"/>
  <c r="O75" i="22" s="1"/>
  <c r="S74" i="22"/>
  <c r="R74" i="22"/>
  <c r="Q74" i="22"/>
  <c r="P74" i="22"/>
  <c r="Y74" i="22" s="1"/>
  <c r="O74" i="22"/>
  <c r="N74" i="22"/>
  <c r="V74" i="22" s="1"/>
  <c r="M74" i="22"/>
  <c r="L74" i="22"/>
  <c r="A74" i="22"/>
  <c r="P73" i="22"/>
  <c r="Y73" i="22" s="1"/>
  <c r="O73" i="22"/>
  <c r="M73" i="22"/>
  <c r="L73" i="22"/>
  <c r="Q73" i="22" s="1"/>
  <c r="A73" i="22"/>
  <c r="N73" i="22" s="1"/>
  <c r="V73" i="22" s="1"/>
  <c r="S72" i="22"/>
  <c r="R72" i="22"/>
  <c r="Q72" i="22"/>
  <c r="P72" i="22"/>
  <c r="N72" i="22"/>
  <c r="M72" i="22"/>
  <c r="L72" i="22"/>
  <c r="A72" i="22"/>
  <c r="O72" i="22" s="1"/>
  <c r="V72" i="22" s="1"/>
  <c r="R71" i="22"/>
  <c r="Q71" i="22"/>
  <c r="P71" i="22"/>
  <c r="Y71" i="22" s="1"/>
  <c r="O71" i="22"/>
  <c r="N71" i="22"/>
  <c r="V71" i="22" s="1"/>
  <c r="M71" i="22"/>
  <c r="S71" i="22" s="1"/>
  <c r="L71" i="22"/>
  <c r="A71" i="22"/>
  <c r="S70" i="22"/>
  <c r="R70" i="22"/>
  <c r="P70" i="22"/>
  <c r="M70" i="22"/>
  <c r="L70" i="22"/>
  <c r="Q70" i="22" s="1"/>
  <c r="Y70" i="22" s="1"/>
  <c r="A70" i="22"/>
  <c r="O70" i="22" s="1"/>
  <c r="M69" i="22"/>
  <c r="R69" i="22" s="1"/>
  <c r="L69" i="22"/>
  <c r="Q69" i="22" s="1"/>
  <c r="A69" i="22"/>
  <c r="N69" i="22" s="1"/>
  <c r="M68" i="22"/>
  <c r="S68" i="22" s="1"/>
  <c r="L68" i="22"/>
  <c r="Q68" i="22" s="1"/>
  <c r="A68" i="22"/>
  <c r="M67" i="22"/>
  <c r="R67" i="22" s="1"/>
  <c r="L67" i="22"/>
  <c r="P67" i="22" s="1"/>
  <c r="A67" i="22"/>
  <c r="N67" i="22" s="1"/>
  <c r="M66" i="22"/>
  <c r="L66" i="22"/>
  <c r="A66" i="22"/>
  <c r="Y65" i="22"/>
  <c r="V65" i="22"/>
  <c r="S65" i="22"/>
  <c r="Q65" i="22"/>
  <c r="P65" i="22"/>
  <c r="O65" i="22"/>
  <c r="N65" i="22"/>
  <c r="M65" i="22"/>
  <c r="R65" i="22" s="1"/>
  <c r="L65" i="22"/>
  <c r="A65" i="22"/>
  <c r="M64" i="22"/>
  <c r="L64" i="22"/>
  <c r="A64" i="22"/>
  <c r="O64" i="22" s="1"/>
  <c r="S63" i="22"/>
  <c r="R63" i="22"/>
  <c r="Q63" i="22"/>
  <c r="P63" i="22"/>
  <c r="Y63" i="22" s="1"/>
  <c r="O63" i="22"/>
  <c r="V63" i="22" s="1"/>
  <c r="N63" i="22"/>
  <c r="M63" i="22"/>
  <c r="L63" i="22"/>
  <c r="A63" i="22"/>
  <c r="O62" i="22"/>
  <c r="N62" i="22"/>
  <c r="V62" i="22" s="1"/>
  <c r="M62" i="22"/>
  <c r="L62" i="22"/>
  <c r="Q62" i="22" s="1"/>
  <c r="A62" i="22"/>
  <c r="S61" i="22"/>
  <c r="R61" i="22"/>
  <c r="Q61" i="22"/>
  <c r="O61" i="22"/>
  <c r="M61" i="22"/>
  <c r="L61" i="22"/>
  <c r="P61" i="22" s="1"/>
  <c r="Y61" i="22" s="1"/>
  <c r="A61" i="22"/>
  <c r="N61" i="22" s="1"/>
  <c r="V61" i="22" s="1"/>
  <c r="S60" i="22"/>
  <c r="R60" i="22"/>
  <c r="Q60" i="22"/>
  <c r="M60" i="22"/>
  <c r="L60" i="22"/>
  <c r="P60" i="22" s="1"/>
  <c r="Y60" i="22" s="1"/>
  <c r="A60" i="22"/>
  <c r="O60" i="22" s="1"/>
  <c r="S59" i="22"/>
  <c r="M59" i="22"/>
  <c r="R59" i="22" s="1"/>
  <c r="L59" i="22"/>
  <c r="Q59" i="22" s="1"/>
  <c r="A59" i="22"/>
  <c r="O59" i="22" s="1"/>
  <c r="V58" i="22"/>
  <c r="S58" i="22"/>
  <c r="R58" i="22"/>
  <c r="Q58" i="22"/>
  <c r="P58" i="22"/>
  <c r="Y58" i="22" s="1"/>
  <c r="N58" i="22"/>
  <c r="M58" i="22"/>
  <c r="L58" i="22"/>
  <c r="A58" i="22"/>
  <c r="O58" i="22" s="1"/>
  <c r="M57" i="22"/>
  <c r="S57" i="22" s="1"/>
  <c r="L57" i="22"/>
  <c r="A57" i="22"/>
  <c r="O56" i="22"/>
  <c r="N56" i="22"/>
  <c r="V56" i="22" s="1"/>
  <c r="M56" i="22"/>
  <c r="R56" i="22" s="1"/>
  <c r="L56" i="22"/>
  <c r="Q56" i="22" s="1"/>
  <c r="A56" i="22"/>
  <c r="N55" i="22"/>
  <c r="V55" i="22" s="1"/>
  <c r="M55" i="22"/>
  <c r="L55" i="22"/>
  <c r="A55" i="22"/>
  <c r="O55" i="22" s="1"/>
  <c r="S54" i="22"/>
  <c r="R54" i="22"/>
  <c r="Q54" i="22"/>
  <c r="P54" i="22"/>
  <c r="Y54" i="22" s="1"/>
  <c r="O54" i="22"/>
  <c r="N54" i="22"/>
  <c r="V54" i="22" s="1"/>
  <c r="M54" i="22"/>
  <c r="L54" i="22"/>
  <c r="A54" i="22"/>
  <c r="M53" i="22"/>
  <c r="L53" i="22"/>
  <c r="Q53" i="22" s="1"/>
  <c r="A53" i="22"/>
  <c r="O53" i="22" s="1"/>
  <c r="M51" i="22"/>
  <c r="L51" i="22"/>
  <c r="A51" i="22"/>
  <c r="Q50" i="22"/>
  <c r="P50" i="22"/>
  <c r="Y50" i="22" s="1"/>
  <c r="O50" i="22"/>
  <c r="N50" i="22"/>
  <c r="V50" i="22" s="1"/>
  <c r="M50" i="22"/>
  <c r="R50" i="22" s="1"/>
  <c r="L50" i="22"/>
  <c r="A50" i="22"/>
  <c r="O49" i="22"/>
  <c r="N49" i="22"/>
  <c r="V49" i="22" s="1"/>
  <c r="M49" i="22"/>
  <c r="L49" i="22"/>
  <c r="A49" i="22"/>
  <c r="S48" i="22"/>
  <c r="R48" i="22"/>
  <c r="Q48" i="22"/>
  <c r="P48" i="22"/>
  <c r="Y48" i="22" s="1"/>
  <c r="O48" i="22"/>
  <c r="M48" i="22"/>
  <c r="L48" i="22"/>
  <c r="A48" i="22"/>
  <c r="N48" i="22" s="1"/>
  <c r="V48" i="22" s="1"/>
  <c r="O47" i="22"/>
  <c r="N47" i="22"/>
  <c r="V47" i="22" s="1"/>
  <c r="M47" i="22"/>
  <c r="L47" i="22"/>
  <c r="P47" i="22" s="1"/>
  <c r="A47" i="22"/>
  <c r="Y46" i="22"/>
  <c r="V46" i="22"/>
  <c r="S46" i="22"/>
  <c r="R46" i="22"/>
  <c r="Q46" i="22"/>
  <c r="O46" i="22"/>
  <c r="M46" i="22"/>
  <c r="L46" i="22"/>
  <c r="P46" i="22" s="1"/>
  <c r="A46" i="22"/>
  <c r="N46" i="22" s="1"/>
  <c r="S45" i="22"/>
  <c r="R45" i="22"/>
  <c r="M45" i="22"/>
  <c r="L45" i="22"/>
  <c r="Q45" i="22" s="1"/>
  <c r="A45" i="22"/>
  <c r="O45" i="22" s="1"/>
  <c r="S44" i="22"/>
  <c r="M44" i="22"/>
  <c r="R44" i="22" s="1"/>
  <c r="L44" i="22"/>
  <c r="Q44" i="22" s="1"/>
  <c r="A44" i="22"/>
  <c r="O44" i="22" s="1"/>
  <c r="M43" i="22"/>
  <c r="R43" i="22" s="1"/>
  <c r="L43" i="22"/>
  <c r="Q43" i="22" s="1"/>
  <c r="A43" i="22"/>
  <c r="O43" i="22" s="1"/>
  <c r="M42" i="22"/>
  <c r="S42" i="22" s="1"/>
  <c r="L42" i="22"/>
  <c r="A42" i="22"/>
  <c r="Y41" i="22"/>
  <c r="V41" i="22"/>
  <c r="S41" i="22"/>
  <c r="R41" i="22"/>
  <c r="P41" i="22"/>
  <c r="O41" i="22"/>
  <c r="N41" i="22"/>
  <c r="M41" i="22"/>
  <c r="L41" i="22"/>
  <c r="Q41" i="22" s="1"/>
  <c r="A41" i="22"/>
  <c r="M40" i="22"/>
  <c r="L40" i="22"/>
  <c r="A40" i="22"/>
  <c r="O40" i="22" s="1"/>
  <c r="S39" i="22"/>
  <c r="R39" i="22"/>
  <c r="Q39" i="22"/>
  <c r="P39" i="22"/>
  <c r="Y39" i="22" s="1"/>
  <c r="O39" i="22"/>
  <c r="N39" i="22"/>
  <c r="V39" i="22" s="1"/>
  <c r="M39" i="22"/>
  <c r="L39" i="22"/>
  <c r="A39" i="22"/>
  <c r="P38" i="22"/>
  <c r="Y38" i="22" s="1"/>
  <c r="M38" i="22"/>
  <c r="L38" i="22"/>
  <c r="Q38" i="22" s="1"/>
  <c r="A38" i="22"/>
  <c r="O38" i="22" s="1"/>
  <c r="S37" i="22"/>
  <c r="R37" i="22"/>
  <c r="Q37" i="22"/>
  <c r="P37" i="22"/>
  <c r="Y37" i="22" s="1"/>
  <c r="N37" i="22"/>
  <c r="M37" i="22"/>
  <c r="L37" i="22"/>
  <c r="A37" i="22"/>
  <c r="O37" i="22" s="1"/>
  <c r="V37" i="22" s="1"/>
  <c r="R36" i="22"/>
  <c r="Q36" i="22"/>
  <c r="P36" i="22"/>
  <c r="Y36" i="22" s="1"/>
  <c r="O36" i="22"/>
  <c r="N36" i="22"/>
  <c r="M36" i="22"/>
  <c r="S36" i="22" s="1"/>
  <c r="L36" i="22"/>
  <c r="A36" i="22"/>
  <c r="S35" i="22"/>
  <c r="R35" i="22"/>
  <c r="P35" i="22"/>
  <c r="M35" i="22"/>
  <c r="L35" i="22"/>
  <c r="Q35" i="22" s="1"/>
  <c r="Y35" i="22" s="1"/>
  <c r="A35" i="22"/>
  <c r="O35" i="22" s="1"/>
  <c r="O34" i="22"/>
  <c r="V34" i="22" s="1"/>
  <c r="M34" i="22"/>
  <c r="S34" i="22" s="1"/>
  <c r="L34" i="22"/>
  <c r="Q34" i="22" s="1"/>
  <c r="A34" i="22"/>
  <c r="N34" i="22" s="1"/>
  <c r="M33" i="22"/>
  <c r="S33" i="22" s="1"/>
  <c r="L33" i="22"/>
  <c r="Q33" i="22" s="1"/>
  <c r="A33" i="22"/>
  <c r="M32" i="22"/>
  <c r="S32" i="22" s="1"/>
  <c r="L32" i="22"/>
  <c r="P32" i="22" s="1"/>
  <c r="A32" i="22"/>
  <c r="N32" i="22" s="1"/>
  <c r="M31" i="22"/>
  <c r="L31" i="22"/>
  <c r="A31" i="22"/>
  <c r="Y30" i="22"/>
  <c r="V30" i="22"/>
  <c r="S30" i="22"/>
  <c r="Q30" i="22"/>
  <c r="P30" i="22"/>
  <c r="O30" i="22"/>
  <c r="N30" i="22"/>
  <c r="M30" i="22"/>
  <c r="R30" i="22" s="1"/>
  <c r="L30" i="22"/>
  <c r="A30" i="22"/>
  <c r="M29" i="22"/>
  <c r="L29" i="22"/>
  <c r="A29" i="22"/>
  <c r="O29" i="22" s="1"/>
  <c r="S28" i="22"/>
  <c r="R28" i="22"/>
  <c r="Q28" i="22"/>
  <c r="P28" i="22"/>
  <c r="Y28" i="22" s="1"/>
  <c r="O28" i="22"/>
  <c r="V28" i="22" s="1"/>
  <c r="N28" i="22"/>
  <c r="M28" i="22"/>
  <c r="L28" i="22"/>
  <c r="A28" i="22"/>
  <c r="O26" i="22"/>
  <c r="N26" i="22"/>
  <c r="V26" i="22" s="1"/>
  <c r="M26" i="22"/>
  <c r="S26" i="22" s="1"/>
  <c r="L26" i="22"/>
  <c r="Q26" i="22" s="1"/>
  <c r="A26" i="22"/>
  <c r="M25" i="22"/>
  <c r="L25" i="22"/>
  <c r="A25" i="22"/>
  <c r="O25" i="22" s="1"/>
  <c r="Y24" i="22"/>
  <c r="V24" i="22"/>
  <c r="S24" i="22"/>
  <c r="R24" i="22"/>
  <c r="Q24" i="22"/>
  <c r="P24" i="22"/>
  <c r="O24" i="22"/>
  <c r="N24" i="22"/>
  <c r="M24" i="22"/>
  <c r="L24" i="22"/>
  <c r="A24" i="22"/>
  <c r="M23" i="22"/>
  <c r="L23" i="22"/>
  <c r="Q23" i="22" s="1"/>
  <c r="A23" i="22"/>
  <c r="O23" i="22" s="1"/>
  <c r="V22" i="22"/>
  <c r="S22" i="22"/>
  <c r="R22" i="22"/>
  <c r="Q22" i="22"/>
  <c r="P22" i="22"/>
  <c r="Y22" i="22" s="1"/>
  <c r="N22" i="22"/>
  <c r="M22" i="22"/>
  <c r="L22" i="22"/>
  <c r="A22" i="22"/>
  <c r="O22" i="22" s="1"/>
  <c r="Q21" i="22"/>
  <c r="P21" i="22"/>
  <c r="Y21" i="22" s="1"/>
  <c r="M21" i="22"/>
  <c r="S21" i="22" s="1"/>
  <c r="L21" i="22"/>
  <c r="A21" i="22"/>
  <c r="O21" i="22" s="1"/>
  <c r="Y20" i="22"/>
  <c r="S20" i="22"/>
  <c r="R20" i="22"/>
  <c r="P20" i="22"/>
  <c r="M20" i="22"/>
  <c r="L20" i="22"/>
  <c r="Q20" i="22" s="1"/>
  <c r="A20" i="22"/>
  <c r="O20" i="22" s="1"/>
  <c r="M19" i="22"/>
  <c r="S19" i="22" s="1"/>
  <c r="L19" i="22"/>
  <c r="Q19" i="22" s="1"/>
  <c r="A19" i="22"/>
  <c r="N19" i="22" s="1"/>
  <c r="M18" i="22"/>
  <c r="S18" i="22" s="1"/>
  <c r="L18" i="22"/>
  <c r="Q18" i="22" s="1"/>
  <c r="A18" i="22"/>
  <c r="S17" i="22"/>
  <c r="R17" i="22"/>
  <c r="Q17" i="22"/>
  <c r="M17" i="22"/>
  <c r="L17" i="22"/>
  <c r="P17" i="22" s="1"/>
  <c r="Y17" i="22" s="1"/>
  <c r="A17" i="22"/>
  <c r="O17" i="22" s="1"/>
  <c r="M16" i="22"/>
  <c r="L16" i="22"/>
  <c r="A16" i="22"/>
  <c r="Q15" i="22"/>
  <c r="P15" i="22"/>
  <c r="Y15" i="22" s="1"/>
  <c r="O15" i="22"/>
  <c r="N15" i="22"/>
  <c r="V15" i="22" s="1"/>
  <c r="M15" i="22"/>
  <c r="R15" i="22" s="1"/>
  <c r="L15" i="22"/>
  <c r="A15" i="22"/>
  <c r="M14" i="22"/>
  <c r="L14" i="22"/>
  <c r="A14" i="22"/>
  <c r="O14" i="22" s="1"/>
  <c r="S13" i="22"/>
  <c r="R13" i="22"/>
  <c r="Q13" i="22"/>
  <c r="P13" i="22"/>
  <c r="Y13" i="22" s="1"/>
  <c r="O13" i="22"/>
  <c r="M13" i="22"/>
  <c r="L13" i="22"/>
  <c r="A13" i="22"/>
  <c r="N13" i="22" s="1"/>
  <c r="V13" i="22" s="1"/>
  <c r="Q12" i="22"/>
  <c r="P12" i="22"/>
  <c r="Y12" i="22" s="1"/>
  <c r="O12" i="22"/>
  <c r="N12" i="22"/>
  <c r="M12" i="22"/>
  <c r="L12" i="22"/>
  <c r="A12" i="22"/>
  <c r="S11" i="22"/>
  <c r="R11" i="22"/>
  <c r="Q11" i="22"/>
  <c r="O11" i="22"/>
  <c r="M11" i="22"/>
  <c r="L11" i="22"/>
  <c r="P11" i="22" s="1"/>
  <c r="Y11" i="22" s="1"/>
  <c r="A11" i="22"/>
  <c r="N11" i="22" s="1"/>
  <c r="V11" i="22" s="1"/>
  <c r="Q10" i="22"/>
  <c r="P10" i="22"/>
  <c r="Y10" i="22" s="1"/>
  <c r="O10" i="22"/>
  <c r="N10" i="22"/>
  <c r="V10" i="22" s="1"/>
  <c r="M10" i="22"/>
  <c r="S10" i="22" s="1"/>
  <c r="L10" i="22"/>
  <c r="A10" i="22"/>
  <c r="S9" i="22"/>
  <c r="M9" i="22"/>
  <c r="R9" i="22" s="1"/>
  <c r="L9" i="22"/>
  <c r="Q9" i="22" s="1"/>
  <c r="A9" i="22"/>
  <c r="M8" i="22"/>
  <c r="R8" i="22" s="1"/>
  <c r="L8" i="22"/>
  <c r="Q8" i="22" s="1"/>
  <c r="A8" i="22"/>
  <c r="O8" i="22" s="1"/>
  <c r="M7" i="22"/>
  <c r="L7" i="22"/>
  <c r="A7" i="22"/>
  <c r="O6" i="22"/>
  <c r="N6" i="22"/>
  <c r="V6" i="22" s="1"/>
  <c r="M6" i="22"/>
  <c r="S6" i="22" s="1"/>
  <c r="L6" i="22"/>
  <c r="Q6" i="22" s="1"/>
  <c r="A6" i="22"/>
  <c r="M5" i="22"/>
  <c r="L5" i="22"/>
  <c r="A5" i="22"/>
  <c r="O5" i="22" s="1"/>
  <c r="Y4" i="22"/>
  <c r="V4" i="22"/>
  <c r="S4" i="22"/>
  <c r="R4" i="22"/>
  <c r="Q4" i="22"/>
  <c r="P4" i="22"/>
  <c r="O4" i="22"/>
  <c r="N4" i="22"/>
  <c r="M4" i="22"/>
  <c r="L4" i="22"/>
  <c r="A4" i="22"/>
  <c r="M3" i="22"/>
  <c r="L3" i="22"/>
  <c r="Q3" i="22" s="1"/>
  <c r="A3" i="22"/>
  <c r="N3" i="22" s="1"/>
  <c r="AO51" i="21"/>
  <c r="AS51" i="21"/>
  <c r="AV51" i="21"/>
  <c r="AX51" i="21"/>
  <c r="AO52" i="21"/>
  <c r="AS52" i="21"/>
  <c r="AR52" i="21" s="1"/>
  <c r="AV52" i="21"/>
  <c r="AX52" i="21"/>
  <c r="AO53" i="21"/>
  <c r="AS53" i="21"/>
  <c r="AV53" i="21"/>
  <c r="AX53" i="21"/>
  <c r="AO54" i="21"/>
  <c r="AD54" i="21" s="1"/>
  <c r="AP54" i="21"/>
  <c r="AS54" i="21"/>
  <c r="AV54" i="21"/>
  <c r="AX54" i="21"/>
  <c r="AO55" i="21"/>
  <c r="AP55" i="21" s="1"/>
  <c r="AS55" i="21"/>
  <c r="AV55" i="21"/>
  <c r="AX55" i="21"/>
  <c r="AO56" i="21"/>
  <c r="AP56" i="21" s="1"/>
  <c r="AS56" i="21"/>
  <c r="AT56" i="21" s="1"/>
  <c r="AV56" i="21"/>
  <c r="AX56" i="21"/>
  <c r="AO57" i="21"/>
  <c r="AS57" i="21"/>
  <c r="AR57" i="21" s="1"/>
  <c r="AT57" i="21"/>
  <c r="AV57" i="21"/>
  <c r="AX57" i="21"/>
  <c r="AO58" i="21"/>
  <c r="AP58" i="21" s="1"/>
  <c r="AS58" i="21"/>
  <c r="AV58" i="21"/>
  <c r="AX58" i="21"/>
  <c r="AO59" i="21"/>
  <c r="AS59" i="21"/>
  <c r="AV59" i="21"/>
  <c r="AX59" i="21"/>
  <c r="AO60" i="21"/>
  <c r="AS60" i="21"/>
  <c r="AV60" i="21"/>
  <c r="AX60" i="21"/>
  <c r="AO61" i="21"/>
  <c r="AS61" i="21"/>
  <c r="AR61" i="21" s="1"/>
  <c r="AV61" i="21"/>
  <c r="AX61" i="21"/>
  <c r="AO62" i="21"/>
  <c r="AS62" i="21"/>
  <c r="AV62" i="21"/>
  <c r="AX62" i="21"/>
  <c r="AO63" i="21"/>
  <c r="AS63" i="21"/>
  <c r="AV63" i="21"/>
  <c r="AX63" i="21"/>
  <c r="AO64" i="21"/>
  <c r="AS64" i="21"/>
  <c r="AV64" i="21"/>
  <c r="AX64" i="21"/>
  <c r="AO65" i="21"/>
  <c r="AS65" i="21"/>
  <c r="AR65" i="21" s="1"/>
  <c r="AV65" i="21"/>
  <c r="AX65" i="21"/>
  <c r="AO66" i="21"/>
  <c r="AS66" i="21"/>
  <c r="AR66" i="21" s="1"/>
  <c r="AV66" i="21"/>
  <c r="AX66" i="21"/>
  <c r="AO67" i="21"/>
  <c r="AP67" i="21" s="1"/>
  <c r="AS67" i="21"/>
  <c r="AT67" i="21"/>
  <c r="AV67" i="21"/>
  <c r="AX67" i="21"/>
  <c r="AO68" i="21"/>
  <c r="AS68" i="21"/>
  <c r="AV68" i="21"/>
  <c r="AX68" i="21"/>
  <c r="AO69" i="21"/>
  <c r="AS69" i="21"/>
  <c r="AV69" i="21"/>
  <c r="AX69" i="21"/>
  <c r="AO70" i="21"/>
  <c r="AP70" i="21" s="1"/>
  <c r="AS70" i="21"/>
  <c r="AV70" i="21"/>
  <c r="AX70" i="21"/>
  <c r="AO71" i="21"/>
  <c r="AP71" i="21" s="1"/>
  <c r="AS71" i="21"/>
  <c r="AV71" i="21"/>
  <c r="AX71" i="21"/>
  <c r="AO72" i="21"/>
  <c r="AN72" i="21" s="1"/>
  <c r="AS72" i="21"/>
  <c r="AV72" i="21"/>
  <c r="AX72" i="21"/>
  <c r="AO73" i="21"/>
  <c r="AS73" i="21"/>
  <c r="AV73" i="21"/>
  <c r="AX73" i="21"/>
  <c r="AO74" i="21"/>
  <c r="AP74" i="21"/>
  <c r="AS74" i="21"/>
  <c r="AV74" i="21"/>
  <c r="AX74" i="21"/>
  <c r="AO28" i="21"/>
  <c r="AS28" i="21"/>
  <c r="AV28" i="21"/>
  <c r="AX28" i="21"/>
  <c r="AO29" i="21"/>
  <c r="AP29" i="21" s="1"/>
  <c r="AS29" i="21"/>
  <c r="AT29" i="21"/>
  <c r="AV29" i="21"/>
  <c r="AX29" i="21"/>
  <c r="AO30" i="21"/>
  <c r="AP30" i="21" s="1"/>
  <c r="AS30" i="21"/>
  <c r="AV30" i="21"/>
  <c r="AX30" i="21"/>
  <c r="AO31" i="21"/>
  <c r="AS31" i="21"/>
  <c r="AV31" i="21"/>
  <c r="AX31" i="21"/>
  <c r="AO32" i="21"/>
  <c r="AS32" i="21"/>
  <c r="AV32" i="21"/>
  <c r="AX32" i="21"/>
  <c r="AO33" i="21"/>
  <c r="AP33" i="21" s="1"/>
  <c r="AS33" i="21"/>
  <c r="AV33" i="21"/>
  <c r="AX33" i="21"/>
  <c r="AO34" i="21"/>
  <c r="AP34" i="21" s="1"/>
  <c r="AS34" i="21"/>
  <c r="AT34" i="21" s="1"/>
  <c r="AV34" i="21"/>
  <c r="AX34" i="21"/>
  <c r="AO35" i="21"/>
  <c r="AS35" i="21"/>
  <c r="AV35" i="21"/>
  <c r="AX35" i="21"/>
  <c r="AO36" i="21"/>
  <c r="AP36" i="21"/>
  <c r="AS36" i="21"/>
  <c r="AR36" i="21" s="1"/>
  <c r="AT36" i="21"/>
  <c r="AV36" i="21"/>
  <c r="AX36" i="21"/>
  <c r="AO37" i="21"/>
  <c r="AS37" i="21"/>
  <c r="AV37" i="21"/>
  <c r="AX37" i="21"/>
  <c r="AO38" i="21"/>
  <c r="AS38" i="21"/>
  <c r="AV38" i="21"/>
  <c r="AX38" i="21"/>
  <c r="AO39" i="21"/>
  <c r="AP39" i="21" s="1"/>
  <c r="AS39" i="21"/>
  <c r="AV39" i="21"/>
  <c r="AX39" i="21"/>
  <c r="AO40" i="21"/>
  <c r="AP40" i="21" s="1"/>
  <c r="AS40" i="21"/>
  <c r="AT40" i="21" s="1"/>
  <c r="AV40" i="21"/>
  <c r="AX40" i="21"/>
  <c r="AO41" i="21"/>
  <c r="AS41" i="21"/>
  <c r="AT41" i="21" s="1"/>
  <c r="AV41" i="21"/>
  <c r="AX41" i="21"/>
  <c r="AO42" i="21"/>
  <c r="AS42" i="21"/>
  <c r="AV42" i="21"/>
  <c r="AX42" i="21"/>
  <c r="AO43" i="21"/>
  <c r="AS43" i="21"/>
  <c r="T43" i="21" s="1"/>
  <c r="AT43" i="21"/>
  <c r="AV43" i="21"/>
  <c r="AX43" i="21"/>
  <c r="AO44" i="21"/>
  <c r="AS44" i="21"/>
  <c r="AV44" i="21"/>
  <c r="AX44" i="21"/>
  <c r="AO45" i="21"/>
  <c r="AS45" i="21"/>
  <c r="AT45" i="21" s="1"/>
  <c r="AV45" i="21"/>
  <c r="AX45" i="21"/>
  <c r="AO46" i="21"/>
  <c r="AS46" i="21"/>
  <c r="AR46" i="21" s="1"/>
  <c r="AV46" i="21"/>
  <c r="AX46" i="21"/>
  <c r="AO47" i="21"/>
  <c r="AS47" i="21"/>
  <c r="AR47" i="21" s="1"/>
  <c r="AV47" i="21"/>
  <c r="AX47" i="21"/>
  <c r="AO48" i="21"/>
  <c r="AS48" i="21"/>
  <c r="AV48" i="21"/>
  <c r="AX48" i="21"/>
  <c r="AO49" i="21"/>
  <c r="AS49" i="21"/>
  <c r="AV49" i="21"/>
  <c r="AX49" i="21"/>
  <c r="AO26" i="21"/>
  <c r="AN26" i="21" s="1"/>
  <c r="AS26" i="21"/>
  <c r="AV26" i="21"/>
  <c r="AX26" i="21"/>
  <c r="AO27" i="21"/>
  <c r="AS27" i="21"/>
  <c r="AT27" i="21" s="1"/>
  <c r="AV27" i="21"/>
  <c r="AX27" i="21"/>
  <c r="AO2" i="21"/>
  <c r="AS2" i="21"/>
  <c r="AV2" i="21"/>
  <c r="AX2" i="21"/>
  <c r="AO3" i="21"/>
  <c r="AS3" i="21"/>
  <c r="AT3" i="21" s="1"/>
  <c r="AV3" i="21"/>
  <c r="AX3" i="21"/>
  <c r="AO4" i="21"/>
  <c r="AD4" i="21" s="1"/>
  <c r="AP4" i="21"/>
  <c r="AS4" i="21"/>
  <c r="AV4" i="21"/>
  <c r="AX4" i="21"/>
  <c r="AO5" i="21"/>
  <c r="AN5" i="21" s="1"/>
  <c r="AS5" i="21"/>
  <c r="AV5" i="21"/>
  <c r="AX5" i="21"/>
  <c r="AO6" i="21"/>
  <c r="AP6" i="21" s="1"/>
  <c r="AS6" i="21"/>
  <c r="AV6" i="21"/>
  <c r="AX6" i="21"/>
  <c r="AO7" i="21"/>
  <c r="AS7" i="21"/>
  <c r="AV7" i="21"/>
  <c r="AX7" i="21"/>
  <c r="AO8" i="21"/>
  <c r="AN8" i="21" s="1"/>
  <c r="AP8" i="21"/>
  <c r="AS8" i="21"/>
  <c r="AR8" i="21" s="1"/>
  <c r="AT8" i="21"/>
  <c r="AV8" i="21"/>
  <c r="AX8" i="21"/>
  <c r="AO9" i="21"/>
  <c r="AS9" i="21"/>
  <c r="AR9" i="21" s="1"/>
  <c r="AV9" i="21"/>
  <c r="AX9" i="21"/>
  <c r="AO10" i="21"/>
  <c r="AN10" i="21" s="1"/>
  <c r="AS10" i="21"/>
  <c r="AV10" i="21"/>
  <c r="AX10" i="21"/>
  <c r="AO11" i="21"/>
  <c r="AS11" i="21"/>
  <c r="AV11" i="21"/>
  <c r="AX11" i="21"/>
  <c r="AO12" i="21"/>
  <c r="AS12" i="21"/>
  <c r="AR12" i="21" s="1"/>
  <c r="AT12" i="21"/>
  <c r="AV12" i="21"/>
  <c r="AX12" i="21"/>
  <c r="AO13" i="21"/>
  <c r="AS13" i="21"/>
  <c r="AR13" i="21" s="1"/>
  <c r="AV13" i="21"/>
  <c r="AX13" i="21"/>
  <c r="AO14" i="21"/>
  <c r="AS14" i="21"/>
  <c r="AR14" i="21" s="1"/>
  <c r="AV14" i="21"/>
  <c r="AX14" i="21"/>
  <c r="AO15" i="21"/>
  <c r="AP15" i="21"/>
  <c r="AS15" i="21"/>
  <c r="AR15" i="21" s="1"/>
  <c r="AT15" i="21"/>
  <c r="AV15" i="21"/>
  <c r="AX15" i="21"/>
  <c r="AO16" i="21"/>
  <c r="AP16" i="21" s="1"/>
  <c r="AS16" i="21"/>
  <c r="AT16" i="21" s="1"/>
  <c r="AV16" i="21"/>
  <c r="AX16" i="21"/>
  <c r="AO17" i="21"/>
  <c r="AS17" i="21"/>
  <c r="AT17" i="21" s="1"/>
  <c r="AV17" i="21"/>
  <c r="AX17" i="21"/>
  <c r="AO18" i="21"/>
  <c r="AS18" i="21"/>
  <c r="AV18" i="21"/>
  <c r="AX18" i="21"/>
  <c r="AO19" i="21"/>
  <c r="AN19" i="21" s="1"/>
  <c r="AP19" i="21"/>
  <c r="AS19" i="21"/>
  <c r="T19" i="21" s="1"/>
  <c r="AV19" i="21"/>
  <c r="AX19" i="21"/>
  <c r="AO20" i="21"/>
  <c r="AS20" i="21"/>
  <c r="AV20" i="21"/>
  <c r="AX20" i="21"/>
  <c r="AO21" i="21"/>
  <c r="AS21" i="21"/>
  <c r="AV21" i="21"/>
  <c r="AX21" i="21"/>
  <c r="AO22" i="21"/>
  <c r="AS22" i="21"/>
  <c r="AV22" i="21"/>
  <c r="AX22" i="21"/>
  <c r="AO23" i="21"/>
  <c r="P23" i="21" s="1"/>
  <c r="AP23" i="21"/>
  <c r="AS23" i="21"/>
  <c r="AV23" i="21"/>
  <c r="AX23" i="21"/>
  <c r="AO24" i="21"/>
  <c r="AP24" i="21"/>
  <c r="AS24" i="21"/>
  <c r="AV24" i="21"/>
  <c r="AX24" i="21"/>
  <c r="AX1" i="21"/>
  <c r="AV1" i="21"/>
  <c r="AS1" i="21"/>
  <c r="AO1" i="21"/>
  <c r="AC52" i="21"/>
  <c r="AG52" i="21"/>
  <c r="AJ52" i="21"/>
  <c r="AL52" i="21"/>
  <c r="AC53" i="21"/>
  <c r="AG53" i="21"/>
  <c r="AH53" i="21" s="1"/>
  <c r="AJ53" i="21"/>
  <c r="AL53" i="21"/>
  <c r="AC54" i="21"/>
  <c r="AG54" i="21"/>
  <c r="AJ54" i="21"/>
  <c r="AL54" i="21"/>
  <c r="AC55" i="21"/>
  <c r="AG55" i="21"/>
  <c r="AF55" i="21" s="1"/>
  <c r="AJ55" i="21"/>
  <c r="AL55" i="21"/>
  <c r="AC56" i="21"/>
  <c r="AG56" i="21"/>
  <c r="AH56" i="21" s="1"/>
  <c r="AJ56" i="21"/>
  <c r="AL56" i="21"/>
  <c r="AC57" i="21"/>
  <c r="AD57" i="21"/>
  <c r="AG57" i="21"/>
  <c r="AJ57" i="21"/>
  <c r="AL57" i="21"/>
  <c r="AC58" i="21"/>
  <c r="AG58" i="21"/>
  <c r="AJ58" i="21"/>
  <c r="AL58" i="21"/>
  <c r="AC59" i="21"/>
  <c r="AG59" i="21"/>
  <c r="AJ59" i="21"/>
  <c r="AL59" i="21"/>
  <c r="AC60" i="21"/>
  <c r="AG60" i="21"/>
  <c r="AJ60" i="21"/>
  <c r="AL60" i="21"/>
  <c r="AC61" i="21"/>
  <c r="AD61" i="21" s="1"/>
  <c r="AG61" i="21"/>
  <c r="AH61" i="21" s="1"/>
  <c r="AJ61" i="21"/>
  <c r="AL61" i="21"/>
  <c r="AC62" i="21"/>
  <c r="AG62" i="21"/>
  <c r="AJ62" i="21"/>
  <c r="AL62" i="21"/>
  <c r="AC63" i="21"/>
  <c r="AD63" i="21" s="1"/>
  <c r="AG63" i="21"/>
  <c r="AF63" i="21" s="1"/>
  <c r="AJ63" i="21"/>
  <c r="AL63" i="21"/>
  <c r="AC64" i="21"/>
  <c r="AD64" i="21" s="1"/>
  <c r="AG64" i="21"/>
  <c r="AF64" i="21" s="1"/>
  <c r="AJ64" i="21"/>
  <c r="AL64" i="21"/>
  <c r="AC65" i="21"/>
  <c r="AD65" i="21" s="1"/>
  <c r="AG65" i="21"/>
  <c r="AJ65" i="21"/>
  <c r="AL65" i="21"/>
  <c r="AC66" i="21"/>
  <c r="AD66" i="21" s="1"/>
  <c r="AG66" i="21"/>
  <c r="AF66" i="21" s="1"/>
  <c r="AJ66" i="21"/>
  <c r="AL66" i="21"/>
  <c r="AC67" i="21"/>
  <c r="AD67" i="21" s="1"/>
  <c r="AG67" i="21"/>
  <c r="AH67" i="21"/>
  <c r="AJ67" i="21"/>
  <c r="AL67" i="21"/>
  <c r="AC68" i="21"/>
  <c r="AB68" i="21" s="1"/>
  <c r="AD68" i="21"/>
  <c r="AG68" i="21"/>
  <c r="AJ68" i="21"/>
  <c r="AL68" i="21"/>
  <c r="AC69" i="21"/>
  <c r="AG69" i="21"/>
  <c r="AH69" i="21"/>
  <c r="AJ69" i="21"/>
  <c r="AL69" i="21"/>
  <c r="AC70" i="21"/>
  <c r="AD70" i="21" s="1"/>
  <c r="AG70" i="21"/>
  <c r="AJ70" i="21"/>
  <c r="AL70" i="21"/>
  <c r="AC71" i="21"/>
  <c r="AD71" i="21" s="1"/>
  <c r="AG71" i="21"/>
  <c r="AF71" i="21" s="1"/>
  <c r="AJ71" i="21"/>
  <c r="AL71" i="21"/>
  <c r="AC72" i="21"/>
  <c r="AB72" i="21" s="1"/>
  <c r="AG72" i="21"/>
  <c r="AJ72" i="21"/>
  <c r="AL72" i="21"/>
  <c r="AC73" i="21"/>
  <c r="AB73" i="21" s="1"/>
  <c r="AG73" i="21"/>
  <c r="AJ73" i="21"/>
  <c r="AL73" i="21"/>
  <c r="AC74" i="21"/>
  <c r="AG74" i="21"/>
  <c r="AJ74" i="21"/>
  <c r="AL74" i="21"/>
  <c r="AC51" i="21"/>
  <c r="AG51" i="21"/>
  <c r="AF51" i="21" s="1"/>
  <c r="AH51" i="21"/>
  <c r="AJ51" i="21"/>
  <c r="AL51" i="21"/>
  <c r="AC27" i="21"/>
  <c r="AP27" i="21" s="1"/>
  <c r="AG27" i="21"/>
  <c r="AF27" i="21" s="1"/>
  <c r="AJ27" i="21"/>
  <c r="AL27" i="21"/>
  <c r="AC28" i="21"/>
  <c r="AG28" i="21"/>
  <c r="AJ28" i="21"/>
  <c r="AL28" i="21"/>
  <c r="AC29" i="21"/>
  <c r="AD29" i="21" s="1"/>
  <c r="AG29" i="21"/>
  <c r="AJ29" i="21"/>
  <c r="AL29" i="21"/>
  <c r="AC30" i="21"/>
  <c r="AG30" i="21"/>
  <c r="AJ30" i="21"/>
  <c r="AL30" i="21"/>
  <c r="AC31" i="21"/>
  <c r="AG31" i="21"/>
  <c r="AH31" i="21" s="1"/>
  <c r="AJ31" i="21"/>
  <c r="AL31" i="21"/>
  <c r="AC32" i="21"/>
  <c r="AG32" i="21"/>
  <c r="AJ32" i="21"/>
  <c r="AL32" i="21"/>
  <c r="AC33" i="21"/>
  <c r="AD33" i="21" s="1"/>
  <c r="AG33" i="21"/>
  <c r="AH33" i="21" s="1"/>
  <c r="AJ33" i="21"/>
  <c r="AL33" i="21"/>
  <c r="AC34" i="21"/>
  <c r="AG34" i="21"/>
  <c r="AJ34" i="21"/>
  <c r="AL34" i="21"/>
  <c r="AC35" i="21"/>
  <c r="AD35" i="21"/>
  <c r="AG35" i="21"/>
  <c r="AJ35" i="21"/>
  <c r="AL35" i="21"/>
  <c r="AC36" i="21"/>
  <c r="AG36" i="21"/>
  <c r="AJ36" i="21"/>
  <c r="AL36" i="21"/>
  <c r="AC37" i="21"/>
  <c r="AG37" i="21"/>
  <c r="AH37" i="21" s="1"/>
  <c r="AJ37" i="21"/>
  <c r="AL37" i="21"/>
  <c r="AC38" i="21"/>
  <c r="AG38" i="21"/>
  <c r="AH38" i="21" s="1"/>
  <c r="AJ38" i="21"/>
  <c r="AL38" i="21"/>
  <c r="AC39" i="21"/>
  <c r="AG39" i="21"/>
  <c r="AF39" i="21" s="1"/>
  <c r="AH39" i="21"/>
  <c r="AJ39" i="21"/>
  <c r="AL39" i="21"/>
  <c r="AC40" i="21"/>
  <c r="AD40" i="21" s="1"/>
  <c r="AG40" i="21"/>
  <c r="AH40" i="21" s="1"/>
  <c r="AJ40" i="21"/>
  <c r="AL40" i="21"/>
  <c r="AC41" i="21"/>
  <c r="AG41" i="21"/>
  <c r="AJ41" i="21"/>
  <c r="AL41" i="21"/>
  <c r="AC42" i="21"/>
  <c r="AD42" i="21" s="1"/>
  <c r="AG42" i="21"/>
  <c r="AF42" i="21" s="1"/>
  <c r="AH42" i="21"/>
  <c r="AJ42" i="21"/>
  <c r="AL42" i="21"/>
  <c r="AC43" i="21"/>
  <c r="AF43" i="21"/>
  <c r="AG43" i="21"/>
  <c r="AJ43" i="21"/>
  <c r="AL43" i="21"/>
  <c r="AC44" i="21"/>
  <c r="AG44" i="21"/>
  <c r="AH44" i="21" s="1"/>
  <c r="AJ44" i="21"/>
  <c r="AL44" i="21"/>
  <c r="AC45" i="21"/>
  <c r="AD45" i="21"/>
  <c r="AG45" i="21"/>
  <c r="AH45" i="21"/>
  <c r="AJ45" i="21"/>
  <c r="AL45" i="21"/>
  <c r="AC46" i="21"/>
  <c r="AG46" i="21"/>
  <c r="AF46" i="21" s="1"/>
  <c r="AJ46" i="21"/>
  <c r="AL46" i="21"/>
  <c r="AC47" i="21"/>
  <c r="P47" i="21" s="1"/>
  <c r="AG47" i="21"/>
  <c r="AJ47" i="21"/>
  <c r="AL47" i="21"/>
  <c r="AC48" i="21"/>
  <c r="AG48" i="21"/>
  <c r="AJ48" i="21"/>
  <c r="AL48" i="21"/>
  <c r="AC49" i="21"/>
  <c r="AG49" i="21"/>
  <c r="AH49" i="21" s="1"/>
  <c r="AJ49" i="21"/>
  <c r="AL49" i="21"/>
  <c r="AC26" i="21"/>
  <c r="AB26" i="21" s="1"/>
  <c r="AG26" i="21"/>
  <c r="AJ26" i="21"/>
  <c r="AL26" i="21"/>
  <c r="AC2" i="21"/>
  <c r="AG2" i="21"/>
  <c r="AJ2" i="21"/>
  <c r="AL2" i="21"/>
  <c r="AC3" i="21"/>
  <c r="AD3" i="21"/>
  <c r="AG3" i="21"/>
  <c r="AJ3" i="21"/>
  <c r="AL3" i="21"/>
  <c r="AC4" i="21"/>
  <c r="AG4" i="21"/>
  <c r="AJ4" i="21"/>
  <c r="AL4" i="21"/>
  <c r="AC5" i="21"/>
  <c r="AG5" i="21"/>
  <c r="AJ5" i="21"/>
  <c r="AL5" i="21"/>
  <c r="AC6" i="21"/>
  <c r="D6" i="21" s="1"/>
  <c r="AG6" i="21"/>
  <c r="AJ6" i="21"/>
  <c r="AL6" i="21"/>
  <c r="AC7" i="21"/>
  <c r="AD7" i="21" s="1"/>
  <c r="AG7" i="21"/>
  <c r="AH7" i="21"/>
  <c r="AJ7" i="21"/>
  <c r="AL7" i="21"/>
  <c r="AC8" i="21"/>
  <c r="AG8" i="21"/>
  <c r="AJ8" i="21"/>
  <c r="AL8" i="21"/>
  <c r="AC9" i="21"/>
  <c r="AG9" i="21"/>
  <c r="AJ9" i="21"/>
  <c r="AL9" i="21"/>
  <c r="AC10" i="21"/>
  <c r="AD10" i="21" s="1"/>
  <c r="AG10" i="21"/>
  <c r="AF10" i="21" s="1"/>
  <c r="AH10" i="21"/>
  <c r="AJ10" i="21"/>
  <c r="AL10" i="21"/>
  <c r="AC11" i="21"/>
  <c r="AG11" i="21"/>
  <c r="AJ11" i="21"/>
  <c r="AL11" i="21"/>
  <c r="AC12" i="21"/>
  <c r="AD12" i="21" s="1"/>
  <c r="AG12" i="21"/>
  <c r="AF12" i="21" s="1"/>
  <c r="AJ12" i="21"/>
  <c r="AL12" i="21"/>
  <c r="AC13" i="21"/>
  <c r="AG13" i="21"/>
  <c r="AH13" i="21" s="1"/>
  <c r="AJ13" i="21"/>
  <c r="AL13" i="21"/>
  <c r="AC14" i="21"/>
  <c r="AG14" i="21"/>
  <c r="V14" i="21" s="1"/>
  <c r="AJ14" i="21"/>
  <c r="AL14" i="21"/>
  <c r="AC15" i="21"/>
  <c r="AG15" i="21"/>
  <c r="AJ15" i="21"/>
  <c r="AL15" i="21"/>
  <c r="AC16" i="21"/>
  <c r="AG16" i="21"/>
  <c r="AJ16" i="21"/>
  <c r="AL16" i="21"/>
  <c r="AC17" i="21"/>
  <c r="AD17" i="21" s="1"/>
  <c r="AG17" i="21"/>
  <c r="AJ17" i="21"/>
  <c r="AL17" i="21"/>
  <c r="AC18" i="21"/>
  <c r="AD18" i="21" s="1"/>
  <c r="AG18" i="21"/>
  <c r="T18" i="21" s="1"/>
  <c r="AJ18" i="21"/>
  <c r="AL18" i="21"/>
  <c r="AC19" i="21"/>
  <c r="AG19" i="21"/>
  <c r="AJ19" i="21"/>
  <c r="AL19" i="21"/>
  <c r="AC20" i="21"/>
  <c r="AG20" i="21"/>
  <c r="AH20" i="21"/>
  <c r="AJ20" i="21"/>
  <c r="AL20" i="21"/>
  <c r="AC21" i="21"/>
  <c r="AG21" i="21"/>
  <c r="AJ21" i="21"/>
  <c r="AL21" i="21"/>
  <c r="AC22" i="21"/>
  <c r="AG22" i="21"/>
  <c r="AJ22" i="21"/>
  <c r="AL22" i="21"/>
  <c r="AC23" i="21"/>
  <c r="AD23" i="21" s="1"/>
  <c r="AG23" i="21"/>
  <c r="AH23" i="21" s="1"/>
  <c r="AJ23" i="21"/>
  <c r="AL23" i="21"/>
  <c r="AC24" i="21"/>
  <c r="AG24" i="21"/>
  <c r="AJ24" i="21"/>
  <c r="AL24" i="21"/>
  <c r="AL1" i="21"/>
  <c r="AJ1" i="21"/>
  <c r="AG1" i="21"/>
  <c r="AH1" i="21" s="1"/>
  <c r="AC1" i="21"/>
  <c r="AN1" i="21" s="1"/>
  <c r="U52" i="21"/>
  <c r="X52" i="21"/>
  <c r="Z52" i="21"/>
  <c r="U53" i="21"/>
  <c r="V53" i="21" s="1"/>
  <c r="X53" i="21"/>
  <c r="Z53" i="21"/>
  <c r="U54" i="21"/>
  <c r="X54" i="21"/>
  <c r="Z54" i="21"/>
  <c r="U55" i="21"/>
  <c r="X55" i="21"/>
  <c r="Z55" i="21"/>
  <c r="U56" i="21"/>
  <c r="X56" i="21"/>
  <c r="Z56" i="21"/>
  <c r="U57" i="21"/>
  <c r="X57" i="21"/>
  <c r="Z57" i="21"/>
  <c r="U58" i="21"/>
  <c r="T58" i="21" s="1"/>
  <c r="X58" i="21"/>
  <c r="Z58" i="21"/>
  <c r="U59" i="21"/>
  <c r="V59" i="21"/>
  <c r="X59" i="21"/>
  <c r="Z59" i="21"/>
  <c r="U60" i="21"/>
  <c r="X60" i="21"/>
  <c r="Z60" i="21"/>
  <c r="U61" i="21"/>
  <c r="X61" i="21"/>
  <c r="Z61" i="21"/>
  <c r="U62" i="21"/>
  <c r="X62" i="21"/>
  <c r="Z62" i="21"/>
  <c r="U63" i="21"/>
  <c r="X63" i="21"/>
  <c r="Z63" i="21"/>
  <c r="U64" i="21"/>
  <c r="X64" i="21"/>
  <c r="Z64" i="21"/>
  <c r="U65" i="21"/>
  <c r="X65" i="21"/>
  <c r="Z65" i="21"/>
  <c r="U66" i="21"/>
  <c r="V66" i="21" s="1"/>
  <c r="X66" i="21"/>
  <c r="Z66" i="21"/>
  <c r="U67" i="21"/>
  <c r="V67" i="21" s="1"/>
  <c r="X67" i="21"/>
  <c r="Z67" i="21"/>
  <c r="U68" i="21"/>
  <c r="X68" i="21"/>
  <c r="Z68" i="21"/>
  <c r="U69" i="21"/>
  <c r="X69" i="21"/>
  <c r="Z69" i="21"/>
  <c r="U70" i="21"/>
  <c r="J70" i="21" s="1"/>
  <c r="X70" i="21"/>
  <c r="Z70" i="21"/>
  <c r="U71" i="21"/>
  <c r="AH71" i="21" s="1"/>
  <c r="V71" i="21"/>
  <c r="X71" i="21"/>
  <c r="Z71" i="21"/>
  <c r="U72" i="21"/>
  <c r="AT72" i="21" s="1"/>
  <c r="X72" i="21"/>
  <c r="Z72" i="21"/>
  <c r="U73" i="21"/>
  <c r="V73" i="21" s="1"/>
  <c r="X73" i="21"/>
  <c r="Z73" i="21"/>
  <c r="U74" i="21"/>
  <c r="X74" i="21"/>
  <c r="Z74" i="21"/>
  <c r="U51" i="21"/>
  <c r="T51" i="21" s="1"/>
  <c r="X51" i="21"/>
  <c r="Z51" i="21"/>
  <c r="U27" i="21"/>
  <c r="H27" i="21" s="1"/>
  <c r="X27" i="21"/>
  <c r="Z27" i="21"/>
  <c r="U28" i="21"/>
  <c r="V28" i="21" s="1"/>
  <c r="X28" i="21"/>
  <c r="Z28" i="21"/>
  <c r="U29" i="21"/>
  <c r="X29" i="21"/>
  <c r="Z29" i="21"/>
  <c r="U30" i="21"/>
  <c r="X30" i="21"/>
  <c r="Z30" i="21"/>
  <c r="U31" i="21"/>
  <c r="X31" i="21"/>
  <c r="Z31" i="21"/>
  <c r="U32" i="21"/>
  <c r="X32" i="21"/>
  <c r="Z32" i="21"/>
  <c r="U33" i="21"/>
  <c r="X33" i="21"/>
  <c r="Z33" i="21"/>
  <c r="U34" i="21"/>
  <c r="X34" i="21"/>
  <c r="Z34" i="21"/>
  <c r="U35" i="21"/>
  <c r="X35" i="21"/>
  <c r="Z35" i="21"/>
  <c r="U36" i="21"/>
  <c r="X36" i="21"/>
  <c r="Z36" i="21"/>
  <c r="U37" i="21"/>
  <c r="X37" i="21"/>
  <c r="Z37" i="21"/>
  <c r="U38" i="21"/>
  <c r="X38" i="21"/>
  <c r="Z38" i="21"/>
  <c r="U39" i="21"/>
  <c r="X39" i="21"/>
  <c r="Z39" i="21"/>
  <c r="U40" i="21"/>
  <c r="X40" i="21"/>
  <c r="Z40" i="21"/>
  <c r="U41" i="21"/>
  <c r="X41" i="21"/>
  <c r="Z41" i="21"/>
  <c r="U42" i="21"/>
  <c r="V42" i="21" s="1"/>
  <c r="X42" i="21"/>
  <c r="Z42" i="21"/>
  <c r="U43" i="21"/>
  <c r="X43" i="21"/>
  <c r="Z43" i="21"/>
  <c r="U44" i="21"/>
  <c r="X44" i="21"/>
  <c r="Z44" i="21"/>
  <c r="U45" i="21"/>
  <c r="X45" i="21"/>
  <c r="Z45" i="21"/>
  <c r="U46" i="21"/>
  <c r="X46" i="21"/>
  <c r="Z46" i="21"/>
  <c r="U47" i="21"/>
  <c r="X47" i="21"/>
  <c r="Z47" i="21"/>
  <c r="U48" i="21"/>
  <c r="X48" i="21"/>
  <c r="Z48" i="21"/>
  <c r="U49" i="21"/>
  <c r="X49" i="21"/>
  <c r="Z49" i="21"/>
  <c r="U26" i="21"/>
  <c r="X26" i="21"/>
  <c r="Z26" i="21"/>
  <c r="U2" i="21"/>
  <c r="T2" i="21" s="1"/>
  <c r="X2" i="21"/>
  <c r="Z2" i="21"/>
  <c r="U3" i="21"/>
  <c r="X3" i="21"/>
  <c r="Z3" i="21"/>
  <c r="U4" i="21"/>
  <c r="T4" i="21" s="1"/>
  <c r="V4" i="21"/>
  <c r="X4" i="21"/>
  <c r="Z4" i="21"/>
  <c r="U5" i="21"/>
  <c r="X5" i="21"/>
  <c r="Z5" i="21"/>
  <c r="U6" i="21"/>
  <c r="X6" i="21"/>
  <c r="Z6" i="21"/>
  <c r="U7" i="21"/>
  <c r="X7" i="21"/>
  <c r="Z7" i="21"/>
  <c r="U8" i="21"/>
  <c r="X8" i="21"/>
  <c r="Z8" i="21"/>
  <c r="U9" i="21"/>
  <c r="V9" i="21"/>
  <c r="X9" i="21"/>
  <c r="Z9" i="21"/>
  <c r="U10" i="21"/>
  <c r="J10" i="21" s="1"/>
  <c r="V10" i="21"/>
  <c r="X10" i="21"/>
  <c r="Z10" i="21"/>
  <c r="U11" i="21"/>
  <c r="T11" i="21" s="1"/>
  <c r="X11" i="21"/>
  <c r="Z11" i="21"/>
  <c r="U12" i="21"/>
  <c r="V12" i="21" s="1"/>
  <c r="X12" i="21"/>
  <c r="Z12" i="21"/>
  <c r="U13" i="21"/>
  <c r="X13" i="21"/>
  <c r="Z13" i="21"/>
  <c r="U14" i="21"/>
  <c r="X14" i="21"/>
  <c r="Z14" i="21"/>
  <c r="U15" i="21"/>
  <c r="X15" i="21"/>
  <c r="Z15" i="21"/>
  <c r="U16" i="21"/>
  <c r="V16" i="21"/>
  <c r="X16" i="21"/>
  <c r="Z16" i="21"/>
  <c r="U17" i="21"/>
  <c r="X17" i="21"/>
  <c r="Z17" i="21"/>
  <c r="U18" i="21"/>
  <c r="H18" i="21" s="1"/>
  <c r="X18" i="21"/>
  <c r="Z18" i="21"/>
  <c r="U19" i="21"/>
  <c r="X19" i="21"/>
  <c r="Z19" i="21"/>
  <c r="U20" i="21"/>
  <c r="V20" i="21"/>
  <c r="X20" i="21"/>
  <c r="Z20" i="21"/>
  <c r="U21" i="21"/>
  <c r="T21" i="21" s="1"/>
  <c r="V21" i="21"/>
  <c r="X21" i="21"/>
  <c r="Z21" i="21"/>
  <c r="U22" i="21"/>
  <c r="X22" i="21"/>
  <c r="Z22" i="21"/>
  <c r="U23" i="21"/>
  <c r="X23" i="21"/>
  <c r="Z23" i="21"/>
  <c r="U24" i="21"/>
  <c r="X24" i="21"/>
  <c r="Z24" i="21"/>
  <c r="Z1" i="21"/>
  <c r="X1" i="21"/>
  <c r="U1" i="21"/>
  <c r="Q52" i="21"/>
  <c r="Q53" i="21"/>
  <c r="Q54" i="21"/>
  <c r="Q55" i="21"/>
  <c r="P55" i="21" s="1"/>
  <c r="Q56" i="21"/>
  <c r="AB56" i="21" s="1"/>
  <c r="Q57" i="21"/>
  <c r="Q58" i="21"/>
  <c r="AB58" i="21" s="1"/>
  <c r="Q59" i="21"/>
  <c r="AN59" i="21" s="1"/>
  <c r="Q60" i="21"/>
  <c r="AN60" i="21" s="1"/>
  <c r="Q61" i="21"/>
  <c r="Q62" i="21"/>
  <c r="R62" i="21" s="1"/>
  <c r="Q63" i="21"/>
  <c r="Q64" i="21"/>
  <c r="Q65" i="21"/>
  <c r="Q66" i="21"/>
  <c r="Q67" i="21"/>
  <c r="Q68" i="21"/>
  <c r="Q69" i="21"/>
  <c r="Q70" i="21"/>
  <c r="Q71" i="21"/>
  <c r="Q72" i="21"/>
  <c r="Q73" i="21"/>
  <c r="Q74" i="21"/>
  <c r="Q51" i="21"/>
  <c r="R51" i="21" s="1"/>
  <c r="Q29" i="21"/>
  <c r="Q30" i="21"/>
  <c r="Q31" i="21"/>
  <c r="F31" i="21" s="1"/>
  <c r="Q32" i="21"/>
  <c r="AP32" i="21" s="1"/>
  <c r="Q33" i="21"/>
  <c r="Q34" i="21"/>
  <c r="Q35" i="21"/>
  <c r="F35" i="21" s="1"/>
  <c r="Q36" i="21"/>
  <c r="Q37" i="21"/>
  <c r="Q38" i="21"/>
  <c r="Q39" i="21"/>
  <c r="Q40" i="21"/>
  <c r="Q41" i="21"/>
  <c r="Q42" i="21"/>
  <c r="Q43" i="21"/>
  <c r="Q44" i="21"/>
  <c r="AP44" i="21" s="1"/>
  <c r="Q45" i="21"/>
  <c r="Q46" i="21"/>
  <c r="AP46" i="21" s="1"/>
  <c r="Q47" i="21"/>
  <c r="Q48" i="21"/>
  <c r="Q49" i="21"/>
  <c r="AB49" i="21" s="1"/>
  <c r="Q26" i="21"/>
  <c r="R26" i="21" s="1"/>
  <c r="Q27" i="21"/>
  <c r="Q28" i="21"/>
  <c r="AB28" i="21" s="1"/>
  <c r="Q2" i="21"/>
  <c r="AN2" i="21" s="1"/>
  <c r="Q3" i="21"/>
  <c r="Q4" i="21"/>
  <c r="Q5" i="21"/>
  <c r="Q6" i="21"/>
  <c r="Q7" i="21"/>
  <c r="P7" i="21" s="1"/>
  <c r="Q8" i="21"/>
  <c r="Q9" i="21"/>
  <c r="Q10" i="21"/>
  <c r="Q11" i="21"/>
  <c r="Q12" i="21"/>
  <c r="Q13" i="21"/>
  <c r="Q14" i="21"/>
  <c r="Q15" i="21"/>
  <c r="Q16" i="21"/>
  <c r="Q17" i="21"/>
  <c r="F17" i="21" s="1"/>
  <c r="Q18" i="21"/>
  <c r="F18" i="21" s="1"/>
  <c r="Q19" i="21"/>
  <c r="R19" i="21" s="1"/>
  <c r="Q20" i="21"/>
  <c r="AP20" i="21" s="1"/>
  <c r="Q21" i="21"/>
  <c r="AB21" i="21" s="1"/>
  <c r="Q22" i="21"/>
  <c r="AD22" i="21" s="1"/>
  <c r="Q23" i="21"/>
  <c r="Q24" i="21"/>
  <c r="Q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51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2" i="21"/>
  <c r="N3" i="21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73" i="21"/>
  <c r="L74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26" i="21"/>
  <c r="L2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N1" i="21"/>
  <c r="L1" i="21"/>
  <c r="I51" i="21"/>
  <c r="AT51" i="21" s="1"/>
  <c r="I52" i="21"/>
  <c r="I53" i="21"/>
  <c r="I54" i="21"/>
  <c r="T54" i="21" s="1"/>
  <c r="I55" i="21"/>
  <c r="AR55" i="21" s="1"/>
  <c r="I56" i="21"/>
  <c r="I57" i="21"/>
  <c r="I58" i="21"/>
  <c r="J58" i="21" s="1"/>
  <c r="I59" i="21"/>
  <c r="I60" i="21"/>
  <c r="I61" i="21"/>
  <c r="I62" i="21"/>
  <c r="T62" i="21" s="1"/>
  <c r="I63" i="21"/>
  <c r="T63" i="21" s="1"/>
  <c r="I64" i="21"/>
  <c r="I65" i="21"/>
  <c r="AH65" i="21" s="1"/>
  <c r="I66" i="21"/>
  <c r="I67" i="21"/>
  <c r="I68" i="21"/>
  <c r="J68" i="21" s="1"/>
  <c r="I69" i="21"/>
  <c r="AT69" i="21" s="1"/>
  <c r="I70" i="21"/>
  <c r="I71" i="21"/>
  <c r="I72" i="21"/>
  <c r="I73" i="21"/>
  <c r="AT73" i="21" s="1"/>
  <c r="I74" i="21"/>
  <c r="I27" i="21"/>
  <c r="I28" i="21"/>
  <c r="AH28" i="21" s="1"/>
  <c r="I29" i="21"/>
  <c r="I30" i="21"/>
  <c r="V30" i="21" s="1"/>
  <c r="I31" i="21"/>
  <c r="I32" i="21"/>
  <c r="I33" i="21"/>
  <c r="I34" i="21"/>
  <c r="I35" i="21"/>
  <c r="H35" i="21" s="1"/>
  <c r="I36" i="21"/>
  <c r="I37" i="21"/>
  <c r="AR37" i="21" s="1"/>
  <c r="I38" i="21"/>
  <c r="V38" i="21" s="1"/>
  <c r="I39" i="21"/>
  <c r="I40" i="21"/>
  <c r="I41" i="21"/>
  <c r="I42" i="21"/>
  <c r="I43" i="21"/>
  <c r="I44" i="21"/>
  <c r="I45" i="21"/>
  <c r="AR45" i="21" s="1"/>
  <c r="I46" i="21"/>
  <c r="I47" i="21"/>
  <c r="I48" i="21"/>
  <c r="I49" i="21"/>
  <c r="I26" i="21"/>
  <c r="T26" i="21" s="1"/>
  <c r="I2" i="21"/>
  <c r="J2" i="21" s="1"/>
  <c r="I3" i="21"/>
  <c r="T3" i="21" s="1"/>
  <c r="I4" i="21"/>
  <c r="J4" i="21" s="1"/>
  <c r="I5" i="21"/>
  <c r="H5" i="21" s="1"/>
  <c r="I6" i="21"/>
  <c r="I7" i="21"/>
  <c r="I8" i="21"/>
  <c r="J8" i="21" s="1"/>
  <c r="I9" i="21"/>
  <c r="I10" i="21"/>
  <c r="AT10" i="21" s="1"/>
  <c r="I11" i="21"/>
  <c r="J11" i="21" s="1"/>
  <c r="I12" i="21"/>
  <c r="I13" i="21"/>
  <c r="I14" i="21"/>
  <c r="I15" i="21"/>
  <c r="I16" i="21"/>
  <c r="I17" i="21"/>
  <c r="I18" i="21"/>
  <c r="I19" i="21"/>
  <c r="I20" i="21"/>
  <c r="I21" i="21"/>
  <c r="I22" i="21"/>
  <c r="I23" i="21"/>
  <c r="J23" i="21" s="1"/>
  <c r="I24" i="21"/>
  <c r="AT24" i="21" s="1"/>
  <c r="I1" i="21"/>
  <c r="H1" i="21" s="1"/>
  <c r="E52" i="21"/>
  <c r="P52" i="21" s="1"/>
  <c r="E53" i="21"/>
  <c r="E54" i="21"/>
  <c r="D54" i="21" s="1"/>
  <c r="E55" i="21"/>
  <c r="AD55" i="21" s="1"/>
  <c r="E56" i="21"/>
  <c r="E57" i="21"/>
  <c r="E58" i="21"/>
  <c r="E59" i="21"/>
  <c r="E60" i="21"/>
  <c r="E61" i="21"/>
  <c r="E62" i="21"/>
  <c r="AP62" i="21" s="1"/>
  <c r="E63" i="21"/>
  <c r="E64" i="21"/>
  <c r="E65" i="21"/>
  <c r="E66" i="21"/>
  <c r="E67" i="21"/>
  <c r="E68" i="21"/>
  <c r="R68" i="21" s="1"/>
  <c r="E69" i="21"/>
  <c r="E70" i="21"/>
  <c r="AN70" i="21" s="1"/>
  <c r="E71" i="21"/>
  <c r="P71" i="21" s="1"/>
  <c r="E72" i="21"/>
  <c r="R72" i="21" s="1"/>
  <c r="E73" i="21"/>
  <c r="E74" i="21"/>
  <c r="AD74" i="21" s="1"/>
  <c r="E51" i="21"/>
  <c r="AP51" i="21" s="1"/>
  <c r="E27" i="21"/>
  <c r="E28" i="21"/>
  <c r="E29" i="21"/>
  <c r="E30" i="21"/>
  <c r="E31" i="21"/>
  <c r="E32" i="21"/>
  <c r="E33" i="21"/>
  <c r="E34" i="21"/>
  <c r="AD34" i="21" s="1"/>
  <c r="E35" i="21"/>
  <c r="E36" i="21"/>
  <c r="P36" i="21" s="1"/>
  <c r="E37" i="21"/>
  <c r="E38" i="21"/>
  <c r="AD38" i="21" s="1"/>
  <c r="E39" i="21"/>
  <c r="E40" i="21"/>
  <c r="E41" i="21"/>
  <c r="AP41" i="21" s="1"/>
  <c r="E42" i="21"/>
  <c r="AB42" i="21" s="1"/>
  <c r="E43" i="21"/>
  <c r="R43" i="21" s="1"/>
  <c r="E44" i="21"/>
  <c r="E45" i="21"/>
  <c r="E46" i="21"/>
  <c r="E47" i="21"/>
  <c r="E48" i="21"/>
  <c r="AP48" i="21" s="1"/>
  <c r="E49" i="21"/>
  <c r="AD49" i="21" s="1"/>
  <c r="E26" i="21"/>
  <c r="E2" i="21"/>
  <c r="E3" i="21"/>
  <c r="AP3" i="21" s="1"/>
  <c r="E4" i="21"/>
  <c r="E5" i="21"/>
  <c r="AB5" i="21" s="1"/>
  <c r="E6" i="21"/>
  <c r="E7" i="21"/>
  <c r="AN7" i="21" s="1"/>
  <c r="E8" i="21"/>
  <c r="E9" i="21"/>
  <c r="AD9" i="21" s="1"/>
  <c r="E10" i="21"/>
  <c r="R10" i="21" s="1"/>
  <c r="E11" i="21"/>
  <c r="E12" i="21"/>
  <c r="D12" i="21" s="1"/>
  <c r="E13" i="21"/>
  <c r="AP13" i="21" s="1"/>
  <c r="E14" i="21"/>
  <c r="AN14" i="21" s="1"/>
  <c r="E15" i="21"/>
  <c r="E16" i="21"/>
  <c r="E17" i="21"/>
  <c r="AP17" i="21" s="1"/>
  <c r="E18" i="21"/>
  <c r="E19" i="21"/>
  <c r="AD19" i="21" s="1"/>
  <c r="E20" i="21"/>
  <c r="E21" i="21"/>
  <c r="AP21" i="21" s="1"/>
  <c r="E22" i="21"/>
  <c r="E23" i="21"/>
  <c r="E24" i="21"/>
  <c r="E1" i="21"/>
  <c r="F1" i="21" s="1"/>
  <c r="W110" i="21"/>
  <c r="U110" i="21"/>
  <c r="S110" i="21"/>
  <c r="Q110" i="21"/>
  <c r="O110" i="21"/>
  <c r="M110" i="21"/>
  <c r="K110" i="21"/>
  <c r="I110" i="21"/>
  <c r="W109" i="21"/>
  <c r="U109" i="21"/>
  <c r="S109" i="21"/>
  <c r="Q109" i="21"/>
  <c r="O109" i="21"/>
  <c r="M109" i="21"/>
  <c r="K109" i="21"/>
  <c r="I109" i="21"/>
  <c r="W108" i="21"/>
  <c r="U108" i="21"/>
  <c r="S108" i="21"/>
  <c r="Q108" i="21"/>
  <c r="O108" i="21"/>
  <c r="M108" i="21"/>
  <c r="K108" i="21"/>
  <c r="I108" i="21"/>
  <c r="W105" i="21"/>
  <c r="U105" i="21"/>
  <c r="S105" i="21"/>
  <c r="Q105" i="21"/>
  <c r="O105" i="21"/>
  <c r="M105" i="21"/>
  <c r="K105" i="21"/>
  <c r="I105" i="21"/>
  <c r="W104" i="21"/>
  <c r="U104" i="21"/>
  <c r="S104" i="21"/>
  <c r="Q104" i="21"/>
  <c r="O104" i="21"/>
  <c r="M104" i="21"/>
  <c r="K104" i="21"/>
  <c r="I104" i="21"/>
  <c r="W103" i="21"/>
  <c r="U103" i="21"/>
  <c r="S103" i="21"/>
  <c r="Q103" i="21"/>
  <c r="O103" i="21"/>
  <c r="M103" i="21"/>
  <c r="K103" i="21"/>
  <c r="I103" i="21"/>
  <c r="W100" i="21"/>
  <c r="U100" i="21"/>
  <c r="S100" i="21"/>
  <c r="Q100" i="21"/>
  <c r="O100" i="21"/>
  <c r="M100" i="21"/>
  <c r="K100" i="21"/>
  <c r="I100" i="21"/>
  <c r="W99" i="21"/>
  <c r="U99" i="21"/>
  <c r="S99" i="21"/>
  <c r="Q99" i="21"/>
  <c r="O99" i="21"/>
  <c r="M99" i="21"/>
  <c r="K99" i="21"/>
  <c r="I99" i="21"/>
  <c r="W98" i="21"/>
  <c r="U98" i="21"/>
  <c r="S98" i="21"/>
  <c r="Q98" i="21"/>
  <c r="O98" i="21"/>
  <c r="M98" i="21"/>
  <c r="K98" i="21"/>
  <c r="I98" i="21"/>
  <c r="AH81" i="21"/>
  <c r="AF81" i="21"/>
  <c r="J79" i="21"/>
  <c r="H79" i="21"/>
  <c r="F79" i="21"/>
  <c r="AH77" i="21"/>
  <c r="AF77" i="21"/>
  <c r="AH76" i="21"/>
  <c r="AF76" i="21"/>
  <c r="J76" i="21"/>
  <c r="J75" i="21"/>
  <c r="AN74" i="21"/>
  <c r="AB74" i="21"/>
  <c r="R74" i="21"/>
  <c r="P74" i="21"/>
  <c r="J74" i="21"/>
  <c r="H74" i="21"/>
  <c r="D74" i="21"/>
  <c r="J73" i="21"/>
  <c r="J71" i="21"/>
  <c r="H71" i="21"/>
  <c r="F71" i="21"/>
  <c r="T69" i="21"/>
  <c r="J69" i="21"/>
  <c r="H69" i="21"/>
  <c r="T67" i="21"/>
  <c r="J67" i="21"/>
  <c r="H67" i="21"/>
  <c r="J66" i="21"/>
  <c r="H66" i="21"/>
  <c r="AN62" i="21"/>
  <c r="F59" i="21"/>
  <c r="D59" i="21"/>
  <c r="F56" i="21"/>
  <c r="D56" i="21"/>
  <c r="AN55" i="21"/>
  <c r="AB55" i="21"/>
  <c r="T55" i="21"/>
  <c r="J52" i="21"/>
  <c r="D52" i="21"/>
  <c r="T45" i="21"/>
  <c r="J45" i="21"/>
  <c r="H45" i="21"/>
  <c r="AN44" i="21"/>
  <c r="AB44" i="21"/>
  <c r="T44" i="21"/>
  <c r="R44" i="21"/>
  <c r="P44" i="21"/>
  <c r="J44" i="21"/>
  <c r="H44" i="21"/>
  <c r="J37" i="21"/>
  <c r="AN35" i="21"/>
  <c r="AB35" i="21"/>
  <c r="R35" i="21"/>
  <c r="P35" i="21"/>
  <c r="T29" i="21"/>
  <c r="J29" i="21"/>
  <c r="H29" i="21"/>
  <c r="H28" i="21"/>
  <c r="J27" i="21"/>
  <c r="H23" i="21"/>
  <c r="D23" i="21"/>
  <c r="AN22" i="21"/>
  <c r="T20" i="21"/>
  <c r="J20" i="21"/>
  <c r="H20" i="21"/>
  <c r="R18" i="21"/>
  <c r="P18" i="21"/>
  <c r="P12" i="21"/>
  <c r="J12" i="21"/>
  <c r="H12" i="21"/>
  <c r="H11" i="21"/>
  <c r="AB9" i="21"/>
  <c r="T9" i="21"/>
  <c r="R9" i="21"/>
  <c r="P9" i="21"/>
  <c r="J9" i="21"/>
  <c r="F9" i="21"/>
  <c r="AB7" i="21"/>
  <c r="T7" i="21"/>
  <c r="R7" i="21"/>
  <c r="J7" i="21"/>
  <c r="H7" i="21"/>
  <c r="F7" i="21"/>
  <c r="D7" i="21"/>
  <c r="R6" i="21"/>
  <c r="P6" i="21"/>
  <c r="AN3" i="21"/>
  <c r="AB3" i="21"/>
  <c r="R3" i="21"/>
  <c r="P3" i="21"/>
  <c r="J3" i="21"/>
  <c r="H3" i="21"/>
  <c r="F3" i="21"/>
  <c r="D3" i="21"/>
  <c r="AD1" i="21"/>
  <c r="AB1" i="21"/>
  <c r="T1" i="21"/>
  <c r="P1" i="21"/>
  <c r="D31" i="19"/>
  <c r="F31" i="19"/>
  <c r="H31" i="19"/>
  <c r="J31" i="19"/>
  <c r="L31" i="19"/>
  <c r="AS13" i="19" s="1" a="1"/>
  <c r="AS13" i="19" s="1"/>
  <c r="N31" i="19"/>
  <c r="BA13" i="19" s="1" a="1"/>
  <c r="BA13" i="19" s="1"/>
  <c r="P31" i="19"/>
  <c r="R31" i="19"/>
  <c r="T31" i="19"/>
  <c r="V31" i="19"/>
  <c r="X31" i="19"/>
  <c r="Z31" i="19"/>
  <c r="AB31" i="19"/>
  <c r="AD31" i="19"/>
  <c r="AF31" i="19"/>
  <c r="AH31" i="19"/>
  <c r="D32" i="19"/>
  <c r="F32" i="19"/>
  <c r="H32" i="19"/>
  <c r="J32" i="19"/>
  <c r="L32" i="19"/>
  <c r="N32" i="19"/>
  <c r="P32" i="19"/>
  <c r="R32" i="19"/>
  <c r="T32" i="19"/>
  <c r="V32" i="19"/>
  <c r="X32" i="19"/>
  <c r="Z32" i="19"/>
  <c r="AB32" i="19"/>
  <c r="AD32" i="19"/>
  <c r="AF32" i="19"/>
  <c r="AH32" i="19"/>
  <c r="D33" i="19"/>
  <c r="F33" i="19"/>
  <c r="H33" i="19"/>
  <c r="J33" i="19"/>
  <c r="L33" i="19"/>
  <c r="A33" i="19" s="1"/>
  <c r="N33" i="19"/>
  <c r="P33" i="19"/>
  <c r="R33" i="19"/>
  <c r="T33" i="19"/>
  <c r="V33" i="19"/>
  <c r="X33" i="19"/>
  <c r="Z33" i="19"/>
  <c r="AB33" i="19"/>
  <c r="AD33" i="19"/>
  <c r="AF33" i="19"/>
  <c r="AH33" i="19"/>
  <c r="D34" i="19"/>
  <c r="F34" i="19"/>
  <c r="H34" i="19"/>
  <c r="J34" i="19"/>
  <c r="L34" i="19"/>
  <c r="A34" i="19" s="1"/>
  <c r="N34" i="19"/>
  <c r="P34" i="19"/>
  <c r="R34" i="19"/>
  <c r="T34" i="19"/>
  <c r="V34" i="19"/>
  <c r="X34" i="19"/>
  <c r="Z34" i="19"/>
  <c r="AB34" i="19"/>
  <c r="AD34" i="19"/>
  <c r="AF34" i="19"/>
  <c r="AH34" i="19"/>
  <c r="D35" i="19"/>
  <c r="F35" i="19"/>
  <c r="H35" i="19"/>
  <c r="J35" i="19"/>
  <c r="L35" i="19"/>
  <c r="A35" i="19" s="1"/>
  <c r="N35" i="19"/>
  <c r="P35" i="19"/>
  <c r="R35" i="19"/>
  <c r="T35" i="19"/>
  <c r="V35" i="19"/>
  <c r="X35" i="19"/>
  <c r="Z35" i="19"/>
  <c r="AB35" i="19"/>
  <c r="AD35" i="19"/>
  <c r="AF35" i="19"/>
  <c r="AH35" i="19"/>
  <c r="D36" i="19"/>
  <c r="F36" i="19"/>
  <c r="H36" i="19"/>
  <c r="J36" i="19"/>
  <c r="L36" i="19"/>
  <c r="A36" i="19" s="1"/>
  <c r="N36" i="19"/>
  <c r="P36" i="19"/>
  <c r="R36" i="19"/>
  <c r="T36" i="19"/>
  <c r="V36" i="19"/>
  <c r="X36" i="19"/>
  <c r="Z36" i="19"/>
  <c r="AB36" i="19"/>
  <c r="AD36" i="19"/>
  <c r="AF36" i="19"/>
  <c r="AH36" i="19"/>
  <c r="D37" i="19"/>
  <c r="F37" i="19"/>
  <c r="H37" i="19"/>
  <c r="J37" i="19"/>
  <c r="L37" i="19"/>
  <c r="A37" i="19" s="1"/>
  <c r="N37" i="19"/>
  <c r="P37" i="19"/>
  <c r="R37" i="19"/>
  <c r="T37" i="19"/>
  <c r="V37" i="19"/>
  <c r="X37" i="19"/>
  <c r="Z37" i="19"/>
  <c r="AB37" i="19"/>
  <c r="AD37" i="19"/>
  <c r="AF37" i="19"/>
  <c r="AH37" i="19"/>
  <c r="D38" i="19"/>
  <c r="F38" i="19"/>
  <c r="H38" i="19"/>
  <c r="J38" i="19"/>
  <c r="L38" i="19"/>
  <c r="N38" i="19"/>
  <c r="P38" i="19"/>
  <c r="R38" i="19"/>
  <c r="T38" i="19"/>
  <c r="V38" i="19"/>
  <c r="X38" i="19"/>
  <c r="Z38" i="19"/>
  <c r="AB38" i="19"/>
  <c r="AD38" i="19"/>
  <c r="AF38" i="19"/>
  <c r="AH38" i="19"/>
  <c r="D39" i="19"/>
  <c r="F39" i="19"/>
  <c r="H39" i="19"/>
  <c r="J39" i="19"/>
  <c r="L39" i="19"/>
  <c r="A39" i="19" s="1"/>
  <c r="N39" i="19"/>
  <c r="P39" i="19"/>
  <c r="R39" i="19"/>
  <c r="T39" i="19"/>
  <c r="V39" i="19"/>
  <c r="X39" i="19"/>
  <c r="Z39" i="19"/>
  <c r="AB39" i="19"/>
  <c r="AD39" i="19"/>
  <c r="AF39" i="19"/>
  <c r="AH39" i="19"/>
  <c r="D40" i="19"/>
  <c r="F40" i="19"/>
  <c r="H40" i="19"/>
  <c r="J40" i="19"/>
  <c r="L40" i="19"/>
  <c r="A40" i="19" s="1"/>
  <c r="N40" i="19"/>
  <c r="P40" i="19"/>
  <c r="R40" i="19"/>
  <c r="T40" i="19"/>
  <c r="V40" i="19"/>
  <c r="X40" i="19"/>
  <c r="Z40" i="19"/>
  <c r="AB40" i="19"/>
  <c r="AD40" i="19"/>
  <c r="AF40" i="19"/>
  <c r="AH40" i="19"/>
  <c r="D41" i="19"/>
  <c r="F41" i="19"/>
  <c r="H41" i="19"/>
  <c r="J41" i="19"/>
  <c r="L41" i="19"/>
  <c r="A41" i="19" s="1"/>
  <c r="N41" i="19"/>
  <c r="P41" i="19"/>
  <c r="R41" i="19"/>
  <c r="T41" i="19"/>
  <c r="V41" i="19"/>
  <c r="X41" i="19"/>
  <c r="Z41" i="19"/>
  <c r="AB41" i="19"/>
  <c r="AD41" i="19"/>
  <c r="AF41" i="19"/>
  <c r="AH41" i="19"/>
  <c r="D42" i="19"/>
  <c r="F42" i="19"/>
  <c r="H42" i="19"/>
  <c r="J42" i="19"/>
  <c r="L42" i="19"/>
  <c r="A42" i="19" s="1"/>
  <c r="N42" i="19"/>
  <c r="P42" i="19"/>
  <c r="R42" i="19"/>
  <c r="T42" i="19"/>
  <c r="V42" i="19"/>
  <c r="X42" i="19"/>
  <c r="Z42" i="19"/>
  <c r="AB42" i="19"/>
  <c r="AD42" i="19"/>
  <c r="AF42" i="19"/>
  <c r="AH42" i="19"/>
  <c r="D43" i="19"/>
  <c r="F43" i="19"/>
  <c r="H43" i="19"/>
  <c r="J43" i="19"/>
  <c r="L43" i="19"/>
  <c r="N43" i="19"/>
  <c r="P43" i="19"/>
  <c r="R43" i="19"/>
  <c r="T43" i="19"/>
  <c r="V43" i="19"/>
  <c r="X43" i="19"/>
  <c r="Z43" i="19"/>
  <c r="AB43" i="19"/>
  <c r="AD43" i="19"/>
  <c r="AF43" i="19"/>
  <c r="AH43" i="19"/>
  <c r="D44" i="19"/>
  <c r="F44" i="19"/>
  <c r="H44" i="19"/>
  <c r="J44" i="19"/>
  <c r="L44" i="19"/>
  <c r="A44" i="19" s="1"/>
  <c r="N44" i="19"/>
  <c r="P44" i="19"/>
  <c r="R44" i="19"/>
  <c r="T44" i="19"/>
  <c r="V44" i="19"/>
  <c r="X44" i="19"/>
  <c r="Z44" i="19"/>
  <c r="AB44" i="19"/>
  <c r="AD44" i="19"/>
  <c r="AF44" i="19"/>
  <c r="AH44" i="19"/>
  <c r="D45" i="19"/>
  <c r="F45" i="19"/>
  <c r="H45" i="19"/>
  <c r="J45" i="19"/>
  <c r="L45" i="19"/>
  <c r="N45" i="19"/>
  <c r="P45" i="19"/>
  <c r="R45" i="19"/>
  <c r="T45" i="19"/>
  <c r="V45" i="19"/>
  <c r="X45" i="19"/>
  <c r="Z45" i="19"/>
  <c r="AB45" i="19"/>
  <c r="AD45" i="19"/>
  <c r="AF45" i="19"/>
  <c r="AH45" i="19"/>
  <c r="D46" i="19"/>
  <c r="F46" i="19"/>
  <c r="H46" i="19"/>
  <c r="J46" i="19"/>
  <c r="L46" i="19"/>
  <c r="A46" i="19" s="1"/>
  <c r="N46" i="19"/>
  <c r="P46" i="19"/>
  <c r="R46" i="19"/>
  <c r="T46" i="19"/>
  <c r="V46" i="19"/>
  <c r="X46" i="19"/>
  <c r="Z46" i="19"/>
  <c r="AB46" i="19"/>
  <c r="AD46" i="19"/>
  <c r="AF46" i="19"/>
  <c r="AH46" i="19"/>
  <c r="D47" i="19"/>
  <c r="F47" i="19"/>
  <c r="H47" i="19"/>
  <c r="J47" i="19"/>
  <c r="L47" i="19"/>
  <c r="N47" i="19"/>
  <c r="P47" i="19"/>
  <c r="R47" i="19"/>
  <c r="T47" i="19"/>
  <c r="V47" i="19"/>
  <c r="X47" i="19"/>
  <c r="Z47" i="19"/>
  <c r="AB47" i="19"/>
  <c r="AD47" i="19"/>
  <c r="AF47" i="19"/>
  <c r="AH47" i="19"/>
  <c r="D48" i="19"/>
  <c r="F48" i="19"/>
  <c r="H48" i="19"/>
  <c r="J48" i="19"/>
  <c r="L48" i="19"/>
  <c r="N48" i="19"/>
  <c r="P48" i="19"/>
  <c r="R48" i="19"/>
  <c r="T48" i="19"/>
  <c r="V48" i="19"/>
  <c r="X48" i="19"/>
  <c r="Z48" i="19"/>
  <c r="AB48" i="19"/>
  <c r="AD48" i="19"/>
  <c r="AF48" i="19"/>
  <c r="AH48" i="19"/>
  <c r="D49" i="19"/>
  <c r="F49" i="19"/>
  <c r="H49" i="19"/>
  <c r="J49" i="19"/>
  <c r="L49" i="19"/>
  <c r="A49" i="19" s="1"/>
  <c r="N49" i="19"/>
  <c r="P49" i="19"/>
  <c r="R49" i="19"/>
  <c r="T49" i="19"/>
  <c r="V49" i="19"/>
  <c r="X49" i="19"/>
  <c r="Z49" i="19"/>
  <c r="AB49" i="19"/>
  <c r="AD49" i="19"/>
  <c r="AF49" i="19"/>
  <c r="AH49" i="19"/>
  <c r="D50" i="19"/>
  <c r="F50" i="19"/>
  <c r="H50" i="19"/>
  <c r="J50" i="19"/>
  <c r="L50" i="19"/>
  <c r="A50" i="19" s="1"/>
  <c r="N50" i="19"/>
  <c r="P50" i="19"/>
  <c r="R50" i="19"/>
  <c r="T50" i="19"/>
  <c r="V50" i="19"/>
  <c r="X50" i="19"/>
  <c r="Z50" i="19"/>
  <c r="AB50" i="19"/>
  <c r="AD50" i="19"/>
  <c r="AF50" i="19"/>
  <c r="AH50" i="19"/>
  <c r="D51" i="19"/>
  <c r="F51" i="19"/>
  <c r="H51" i="19"/>
  <c r="J51" i="19"/>
  <c r="L51" i="19"/>
  <c r="A51" i="19" s="1"/>
  <c r="N51" i="19"/>
  <c r="P51" i="19"/>
  <c r="R51" i="19"/>
  <c r="T51" i="19"/>
  <c r="V51" i="19"/>
  <c r="X51" i="19"/>
  <c r="Z51" i="19"/>
  <c r="AB51" i="19"/>
  <c r="AD51" i="19"/>
  <c r="AF51" i="19"/>
  <c r="AH51" i="19"/>
  <c r="D52" i="19"/>
  <c r="F52" i="19"/>
  <c r="H52" i="19"/>
  <c r="J52" i="19"/>
  <c r="L52" i="19"/>
  <c r="A52" i="19" s="1"/>
  <c r="N52" i="19"/>
  <c r="P52" i="19"/>
  <c r="R52" i="19"/>
  <c r="T52" i="19"/>
  <c r="V52" i="19"/>
  <c r="X52" i="19"/>
  <c r="Z52" i="19"/>
  <c r="AB52" i="19"/>
  <c r="AD52" i="19"/>
  <c r="AF52" i="19"/>
  <c r="AH52" i="19"/>
  <c r="D53" i="19"/>
  <c r="F53" i="19"/>
  <c r="H53" i="19"/>
  <c r="J53" i="19"/>
  <c r="L53" i="19"/>
  <c r="A53" i="19" s="1"/>
  <c r="N53" i="19"/>
  <c r="P53" i="19"/>
  <c r="R53" i="19"/>
  <c r="T53" i="19"/>
  <c r="V53" i="19"/>
  <c r="X53" i="19"/>
  <c r="Z53" i="19"/>
  <c r="AB53" i="19"/>
  <c r="AD53" i="19"/>
  <c r="AF53" i="19"/>
  <c r="AH53" i="19"/>
  <c r="D54" i="19"/>
  <c r="F54" i="19"/>
  <c r="H54" i="19"/>
  <c r="J54" i="19"/>
  <c r="L54" i="19"/>
  <c r="N54" i="19"/>
  <c r="P54" i="19"/>
  <c r="R54" i="19"/>
  <c r="T54" i="19"/>
  <c r="V54" i="19"/>
  <c r="X54" i="19"/>
  <c r="Z54" i="19"/>
  <c r="AB54" i="19"/>
  <c r="AD54" i="19"/>
  <c r="AF54" i="19"/>
  <c r="AH54" i="19"/>
  <c r="D56" i="19"/>
  <c r="F56" i="19"/>
  <c r="H56" i="19"/>
  <c r="J56" i="19"/>
  <c r="L56" i="19"/>
  <c r="AS18" i="19" s="1" a="1"/>
  <c r="AS18" i="19" s="1"/>
  <c r="N56" i="19"/>
  <c r="AY18" i="19" s="1" a="1"/>
  <c r="AY18" i="19" s="1"/>
  <c r="P56" i="19"/>
  <c r="R56" i="19"/>
  <c r="T56" i="19"/>
  <c r="V56" i="19"/>
  <c r="X56" i="19"/>
  <c r="Z56" i="19"/>
  <c r="AB56" i="19"/>
  <c r="AD56" i="19"/>
  <c r="AF56" i="19"/>
  <c r="AH56" i="19"/>
  <c r="D57" i="19"/>
  <c r="F57" i="19"/>
  <c r="H57" i="19"/>
  <c r="J57" i="19"/>
  <c r="L57" i="19"/>
  <c r="A57" i="19" s="1"/>
  <c r="N57" i="19"/>
  <c r="P57" i="19"/>
  <c r="R57" i="19"/>
  <c r="T57" i="19"/>
  <c r="V57" i="19"/>
  <c r="X57" i="19"/>
  <c r="Z57" i="19"/>
  <c r="AB57" i="19"/>
  <c r="AD57" i="19"/>
  <c r="AF57" i="19"/>
  <c r="AH57" i="19"/>
  <c r="D58" i="19"/>
  <c r="F58" i="19"/>
  <c r="H58" i="19"/>
  <c r="J58" i="19"/>
  <c r="L58" i="19"/>
  <c r="A58" i="19" s="1"/>
  <c r="N58" i="19"/>
  <c r="P58" i="19"/>
  <c r="R58" i="19"/>
  <c r="T58" i="19"/>
  <c r="V58" i="19"/>
  <c r="X58" i="19"/>
  <c r="Z58" i="19"/>
  <c r="AB58" i="19"/>
  <c r="AD58" i="19"/>
  <c r="AF58" i="19"/>
  <c r="AH58" i="19"/>
  <c r="D59" i="19"/>
  <c r="F59" i="19"/>
  <c r="H59" i="19"/>
  <c r="J59" i="19"/>
  <c r="L59" i="19"/>
  <c r="A59" i="19" s="1"/>
  <c r="N59" i="19"/>
  <c r="P59" i="19"/>
  <c r="R59" i="19"/>
  <c r="T59" i="19"/>
  <c r="V59" i="19"/>
  <c r="X59" i="19"/>
  <c r="Z59" i="19"/>
  <c r="AB59" i="19"/>
  <c r="AD59" i="19"/>
  <c r="AF59" i="19"/>
  <c r="AH59" i="19"/>
  <c r="D60" i="19"/>
  <c r="F60" i="19"/>
  <c r="H60" i="19"/>
  <c r="J60" i="19"/>
  <c r="L60" i="19"/>
  <c r="N60" i="19"/>
  <c r="P60" i="19"/>
  <c r="R60" i="19"/>
  <c r="T60" i="19"/>
  <c r="V60" i="19"/>
  <c r="X60" i="19"/>
  <c r="Z60" i="19"/>
  <c r="AB60" i="19"/>
  <c r="AD60" i="19"/>
  <c r="AF60" i="19"/>
  <c r="AH60" i="19"/>
  <c r="D61" i="19"/>
  <c r="F61" i="19"/>
  <c r="H61" i="19"/>
  <c r="J61" i="19"/>
  <c r="L61" i="19"/>
  <c r="A61" i="19" s="1"/>
  <c r="N61" i="19"/>
  <c r="P61" i="19"/>
  <c r="R61" i="19"/>
  <c r="T61" i="19"/>
  <c r="V61" i="19"/>
  <c r="X61" i="19"/>
  <c r="Z61" i="19"/>
  <c r="AB61" i="19"/>
  <c r="AD61" i="19"/>
  <c r="AF61" i="19"/>
  <c r="AH61" i="19"/>
  <c r="D62" i="19"/>
  <c r="F62" i="19"/>
  <c r="H62" i="19"/>
  <c r="J62" i="19"/>
  <c r="L62" i="19"/>
  <c r="N62" i="19"/>
  <c r="P62" i="19"/>
  <c r="R62" i="19"/>
  <c r="T62" i="19"/>
  <c r="V62" i="19"/>
  <c r="X62" i="19"/>
  <c r="Z62" i="19"/>
  <c r="AB62" i="19"/>
  <c r="AD62" i="19"/>
  <c r="AF62" i="19"/>
  <c r="AH62" i="19"/>
  <c r="D63" i="19"/>
  <c r="F63" i="19"/>
  <c r="H63" i="19"/>
  <c r="J63" i="19"/>
  <c r="L63" i="19"/>
  <c r="A63" i="19" s="1"/>
  <c r="N63" i="19"/>
  <c r="P63" i="19"/>
  <c r="R63" i="19"/>
  <c r="T63" i="19"/>
  <c r="V63" i="19"/>
  <c r="X63" i="19"/>
  <c r="Z63" i="19"/>
  <c r="AB63" i="19"/>
  <c r="AD63" i="19"/>
  <c r="AF63" i="19"/>
  <c r="AH63" i="19"/>
  <c r="D64" i="19"/>
  <c r="F64" i="19"/>
  <c r="H64" i="19"/>
  <c r="J64" i="19"/>
  <c r="L64" i="19"/>
  <c r="N64" i="19"/>
  <c r="P64" i="19"/>
  <c r="R64" i="19"/>
  <c r="T64" i="19"/>
  <c r="V64" i="19"/>
  <c r="X64" i="19"/>
  <c r="Z64" i="19"/>
  <c r="AB64" i="19"/>
  <c r="AD64" i="19"/>
  <c r="AF64" i="19"/>
  <c r="AH64" i="19"/>
  <c r="D65" i="19"/>
  <c r="F65" i="19"/>
  <c r="H65" i="19"/>
  <c r="J65" i="19"/>
  <c r="L65" i="19"/>
  <c r="N65" i="19"/>
  <c r="P65" i="19"/>
  <c r="R65" i="19"/>
  <c r="T65" i="19"/>
  <c r="V65" i="19"/>
  <c r="X65" i="19"/>
  <c r="Z65" i="19"/>
  <c r="AB65" i="19"/>
  <c r="AD65" i="19"/>
  <c r="AF65" i="19"/>
  <c r="AH65" i="19"/>
  <c r="D66" i="19"/>
  <c r="F66" i="19"/>
  <c r="H66" i="19"/>
  <c r="J66" i="19"/>
  <c r="L66" i="19"/>
  <c r="A66" i="19" s="1"/>
  <c r="N66" i="19"/>
  <c r="P66" i="19"/>
  <c r="R66" i="19"/>
  <c r="T66" i="19"/>
  <c r="V66" i="19"/>
  <c r="X66" i="19"/>
  <c r="Z66" i="19"/>
  <c r="AB66" i="19"/>
  <c r="AD66" i="19"/>
  <c r="AF66" i="19"/>
  <c r="AH66" i="19"/>
  <c r="D67" i="19"/>
  <c r="F67" i="19"/>
  <c r="H67" i="19"/>
  <c r="J67" i="19"/>
  <c r="L67" i="19"/>
  <c r="A67" i="19" s="1"/>
  <c r="N67" i="19"/>
  <c r="P67" i="19"/>
  <c r="R67" i="19"/>
  <c r="T67" i="19"/>
  <c r="V67" i="19"/>
  <c r="X67" i="19"/>
  <c r="Z67" i="19"/>
  <c r="AB67" i="19"/>
  <c r="AD67" i="19"/>
  <c r="AF67" i="19"/>
  <c r="AH67" i="19"/>
  <c r="D68" i="19"/>
  <c r="F68" i="19"/>
  <c r="H68" i="19"/>
  <c r="J68" i="19"/>
  <c r="L68" i="19"/>
  <c r="A68" i="19" s="1"/>
  <c r="N68" i="19"/>
  <c r="P68" i="19"/>
  <c r="R68" i="19"/>
  <c r="T68" i="19"/>
  <c r="V68" i="19"/>
  <c r="X68" i="19"/>
  <c r="Z68" i="19"/>
  <c r="AB68" i="19"/>
  <c r="AD68" i="19"/>
  <c r="AF68" i="19"/>
  <c r="AH68" i="19"/>
  <c r="D69" i="19"/>
  <c r="F69" i="19"/>
  <c r="H69" i="19"/>
  <c r="J69" i="19"/>
  <c r="L69" i="19"/>
  <c r="A69" i="19" s="1"/>
  <c r="N69" i="19"/>
  <c r="P69" i="19"/>
  <c r="R69" i="19"/>
  <c r="T69" i="19"/>
  <c r="V69" i="19"/>
  <c r="X69" i="19"/>
  <c r="Z69" i="19"/>
  <c r="AB69" i="19"/>
  <c r="AD69" i="19"/>
  <c r="AF69" i="19"/>
  <c r="AH69" i="19"/>
  <c r="D70" i="19"/>
  <c r="F70" i="19"/>
  <c r="H70" i="19"/>
  <c r="J70" i="19"/>
  <c r="L70" i="19"/>
  <c r="A70" i="19" s="1"/>
  <c r="N70" i="19"/>
  <c r="P70" i="19"/>
  <c r="R70" i="19"/>
  <c r="T70" i="19"/>
  <c r="V70" i="19"/>
  <c r="X70" i="19"/>
  <c r="Z70" i="19"/>
  <c r="AB70" i="19"/>
  <c r="AD70" i="19"/>
  <c r="AF70" i="19"/>
  <c r="AH70" i="19"/>
  <c r="D71" i="19"/>
  <c r="F71" i="19"/>
  <c r="H71" i="19"/>
  <c r="J71" i="19"/>
  <c r="L71" i="19"/>
  <c r="N71" i="19"/>
  <c r="P71" i="19"/>
  <c r="R71" i="19"/>
  <c r="T71" i="19"/>
  <c r="V71" i="19"/>
  <c r="X71" i="19"/>
  <c r="Z71" i="19"/>
  <c r="AB71" i="19"/>
  <c r="AD71" i="19"/>
  <c r="AF71" i="19"/>
  <c r="AH71" i="19"/>
  <c r="D72" i="19"/>
  <c r="F72" i="19"/>
  <c r="H72" i="19"/>
  <c r="J72" i="19"/>
  <c r="L72" i="19"/>
  <c r="A72" i="19" s="1"/>
  <c r="N72" i="19"/>
  <c r="P72" i="19"/>
  <c r="R72" i="19"/>
  <c r="T72" i="19"/>
  <c r="V72" i="19"/>
  <c r="X72" i="19"/>
  <c r="Z72" i="19"/>
  <c r="AB72" i="19"/>
  <c r="AD72" i="19"/>
  <c r="AF72" i="19"/>
  <c r="AH72" i="19"/>
  <c r="D73" i="19"/>
  <c r="F73" i="19"/>
  <c r="H73" i="19"/>
  <c r="J73" i="19"/>
  <c r="L73" i="19"/>
  <c r="A73" i="19" s="1"/>
  <c r="N73" i="19"/>
  <c r="P73" i="19"/>
  <c r="R73" i="19"/>
  <c r="T73" i="19"/>
  <c r="V73" i="19"/>
  <c r="X73" i="19"/>
  <c r="Z73" i="19"/>
  <c r="AB73" i="19"/>
  <c r="AD73" i="19"/>
  <c r="AF73" i="19"/>
  <c r="AH73" i="19"/>
  <c r="D74" i="19"/>
  <c r="F74" i="19"/>
  <c r="H74" i="19"/>
  <c r="J74" i="19"/>
  <c r="L74" i="19"/>
  <c r="A74" i="19" s="1"/>
  <c r="N74" i="19"/>
  <c r="P74" i="19"/>
  <c r="R74" i="19"/>
  <c r="T74" i="19"/>
  <c r="V74" i="19"/>
  <c r="X74" i="19"/>
  <c r="Z74" i="19"/>
  <c r="AB74" i="19"/>
  <c r="AD74" i="19"/>
  <c r="AF74" i="19"/>
  <c r="AH74" i="19"/>
  <c r="D75" i="19"/>
  <c r="F75" i="19"/>
  <c r="H75" i="19"/>
  <c r="J75" i="19"/>
  <c r="L75" i="19"/>
  <c r="A75" i="19" s="1"/>
  <c r="N75" i="19"/>
  <c r="P75" i="19"/>
  <c r="R75" i="19"/>
  <c r="T75" i="19"/>
  <c r="V75" i="19"/>
  <c r="X75" i="19"/>
  <c r="Z75" i="19"/>
  <c r="AB75" i="19"/>
  <c r="AD75" i="19"/>
  <c r="AF75" i="19"/>
  <c r="AH75" i="19"/>
  <c r="D76" i="19"/>
  <c r="F76" i="19"/>
  <c r="H76" i="19"/>
  <c r="J76" i="19"/>
  <c r="L76" i="19"/>
  <c r="A76" i="19" s="1"/>
  <c r="N76" i="19"/>
  <c r="P76" i="19"/>
  <c r="R76" i="19"/>
  <c r="T76" i="19"/>
  <c r="V76" i="19"/>
  <c r="X76" i="19"/>
  <c r="Z76" i="19"/>
  <c r="AB76" i="19"/>
  <c r="AD76" i="19"/>
  <c r="AF76" i="19"/>
  <c r="AH76" i="19"/>
  <c r="D77" i="19"/>
  <c r="F77" i="19"/>
  <c r="H77" i="19"/>
  <c r="J77" i="19"/>
  <c r="L77" i="19"/>
  <c r="A77" i="19" s="1"/>
  <c r="N77" i="19"/>
  <c r="P77" i="19"/>
  <c r="R77" i="19"/>
  <c r="T77" i="19"/>
  <c r="V77" i="19"/>
  <c r="X77" i="19"/>
  <c r="Z77" i="19"/>
  <c r="AB77" i="19"/>
  <c r="AD77" i="19"/>
  <c r="AF77" i="19"/>
  <c r="AH77" i="19"/>
  <c r="D78" i="19"/>
  <c r="F78" i="19"/>
  <c r="H78" i="19"/>
  <c r="J78" i="19"/>
  <c r="L78" i="19"/>
  <c r="A78" i="19" s="1"/>
  <c r="N78" i="19"/>
  <c r="P78" i="19"/>
  <c r="R78" i="19"/>
  <c r="T78" i="19"/>
  <c r="V78" i="19"/>
  <c r="X78" i="19"/>
  <c r="Z78" i="19"/>
  <c r="AB78" i="19"/>
  <c r="AD78" i="19"/>
  <c r="AF78" i="19"/>
  <c r="AH78" i="19"/>
  <c r="D79" i="19"/>
  <c r="F79" i="19"/>
  <c r="H79" i="19"/>
  <c r="J79" i="19"/>
  <c r="L79" i="19"/>
  <c r="A79" i="19" s="1"/>
  <c r="N79" i="19"/>
  <c r="P79" i="19"/>
  <c r="R79" i="19"/>
  <c r="T79" i="19"/>
  <c r="V79" i="19"/>
  <c r="X79" i="19"/>
  <c r="Z79" i="19"/>
  <c r="AB79" i="19"/>
  <c r="AD79" i="19"/>
  <c r="AF79" i="19"/>
  <c r="AH79" i="19"/>
  <c r="D7" i="19"/>
  <c r="F7" i="19"/>
  <c r="H7" i="19"/>
  <c r="J7" i="19"/>
  <c r="L7" i="19"/>
  <c r="N7" i="19"/>
  <c r="P7" i="19"/>
  <c r="R7" i="19"/>
  <c r="T7" i="19"/>
  <c r="V7" i="19"/>
  <c r="X7" i="19"/>
  <c r="Z7" i="19"/>
  <c r="AB7" i="19"/>
  <c r="AD7" i="19"/>
  <c r="AW10" i="19" s="1"/>
  <c r="AF7" i="19"/>
  <c r="AH7" i="19"/>
  <c r="D8" i="19"/>
  <c r="F8" i="19"/>
  <c r="H8" i="19"/>
  <c r="J8" i="19"/>
  <c r="L8" i="19"/>
  <c r="A8" i="19" s="1"/>
  <c r="N8" i="19"/>
  <c r="P8" i="19"/>
  <c r="R8" i="19"/>
  <c r="T8" i="19"/>
  <c r="V8" i="19"/>
  <c r="X8" i="19"/>
  <c r="Z8" i="19"/>
  <c r="AB8" i="19"/>
  <c r="AD8" i="19"/>
  <c r="AF8" i="19"/>
  <c r="AH8" i="19"/>
  <c r="D9" i="19"/>
  <c r="F9" i="19"/>
  <c r="H9" i="19"/>
  <c r="J9" i="19"/>
  <c r="L9" i="19"/>
  <c r="A9" i="19" s="1"/>
  <c r="N9" i="19"/>
  <c r="P9" i="19"/>
  <c r="R9" i="19"/>
  <c r="T9" i="19"/>
  <c r="V9" i="19"/>
  <c r="X9" i="19"/>
  <c r="Z9" i="19"/>
  <c r="AB9" i="19"/>
  <c r="AD9" i="19"/>
  <c r="AF9" i="19"/>
  <c r="AH9" i="19"/>
  <c r="D10" i="19"/>
  <c r="F10" i="19"/>
  <c r="H10" i="19"/>
  <c r="J10" i="19"/>
  <c r="L10" i="19"/>
  <c r="A10" i="19" s="1"/>
  <c r="N10" i="19"/>
  <c r="P10" i="19"/>
  <c r="R10" i="19"/>
  <c r="T10" i="19"/>
  <c r="V10" i="19"/>
  <c r="X10" i="19"/>
  <c r="Z10" i="19"/>
  <c r="AB10" i="19"/>
  <c r="AD10" i="19"/>
  <c r="AF10" i="19"/>
  <c r="AH10" i="19"/>
  <c r="D11" i="19"/>
  <c r="F11" i="19"/>
  <c r="H11" i="19"/>
  <c r="J11" i="19"/>
  <c r="L11" i="19"/>
  <c r="N11" i="19"/>
  <c r="P11" i="19"/>
  <c r="R11" i="19"/>
  <c r="T11" i="19"/>
  <c r="V11" i="19"/>
  <c r="X11" i="19"/>
  <c r="Z11" i="19"/>
  <c r="AB11" i="19"/>
  <c r="AD11" i="19"/>
  <c r="AF11" i="19"/>
  <c r="AH11" i="19"/>
  <c r="D12" i="19"/>
  <c r="F12" i="19"/>
  <c r="H12" i="19"/>
  <c r="J12" i="19"/>
  <c r="L12" i="19"/>
  <c r="N12" i="19"/>
  <c r="P12" i="19"/>
  <c r="R12" i="19"/>
  <c r="T12" i="19"/>
  <c r="V12" i="19"/>
  <c r="X12" i="19"/>
  <c r="Z12" i="19"/>
  <c r="AB12" i="19"/>
  <c r="AD12" i="19"/>
  <c r="AF12" i="19"/>
  <c r="AH12" i="19"/>
  <c r="D13" i="19"/>
  <c r="F13" i="19"/>
  <c r="H13" i="19"/>
  <c r="J13" i="19"/>
  <c r="L13" i="19"/>
  <c r="A13" i="19" s="1"/>
  <c r="N13" i="19"/>
  <c r="P13" i="19"/>
  <c r="R13" i="19"/>
  <c r="T13" i="19"/>
  <c r="V13" i="19"/>
  <c r="X13" i="19"/>
  <c r="Z13" i="19"/>
  <c r="AB13" i="19"/>
  <c r="AD13" i="19"/>
  <c r="AF13" i="19"/>
  <c r="AH13" i="19"/>
  <c r="D14" i="19"/>
  <c r="F14" i="19"/>
  <c r="H14" i="19"/>
  <c r="J14" i="19"/>
  <c r="L14" i="19"/>
  <c r="A14" i="19" s="1"/>
  <c r="N14" i="19"/>
  <c r="P14" i="19"/>
  <c r="R14" i="19"/>
  <c r="T14" i="19"/>
  <c r="V14" i="19"/>
  <c r="X14" i="19"/>
  <c r="Z14" i="19"/>
  <c r="AB14" i="19"/>
  <c r="AD14" i="19"/>
  <c r="AF14" i="19"/>
  <c r="AH14" i="19"/>
  <c r="D15" i="19"/>
  <c r="F15" i="19"/>
  <c r="H15" i="19"/>
  <c r="J15" i="19"/>
  <c r="L15" i="19"/>
  <c r="N15" i="19"/>
  <c r="P15" i="19"/>
  <c r="R15" i="19"/>
  <c r="T15" i="19"/>
  <c r="V15" i="19"/>
  <c r="X15" i="19"/>
  <c r="Z15" i="19"/>
  <c r="AB15" i="19"/>
  <c r="AD15" i="19"/>
  <c r="AF15" i="19"/>
  <c r="AH15" i="19"/>
  <c r="D16" i="19"/>
  <c r="F16" i="19"/>
  <c r="H16" i="19"/>
  <c r="J16" i="19"/>
  <c r="L16" i="19"/>
  <c r="A16" i="19" s="1"/>
  <c r="N16" i="19"/>
  <c r="P16" i="19"/>
  <c r="R16" i="19"/>
  <c r="T16" i="19"/>
  <c r="V16" i="19"/>
  <c r="X16" i="19"/>
  <c r="Z16" i="19"/>
  <c r="AB16" i="19"/>
  <c r="AD16" i="19"/>
  <c r="AF16" i="19"/>
  <c r="AH16" i="19"/>
  <c r="D17" i="19"/>
  <c r="F17" i="19"/>
  <c r="H17" i="19"/>
  <c r="J17" i="19"/>
  <c r="L17" i="19"/>
  <c r="A17" i="19" s="1"/>
  <c r="N17" i="19"/>
  <c r="P17" i="19"/>
  <c r="R17" i="19"/>
  <c r="T17" i="19"/>
  <c r="V17" i="19"/>
  <c r="X17" i="19"/>
  <c r="Z17" i="19"/>
  <c r="AB17" i="19"/>
  <c r="AD17" i="19"/>
  <c r="AF17" i="19"/>
  <c r="AH17" i="19"/>
  <c r="D18" i="19"/>
  <c r="F18" i="19"/>
  <c r="H18" i="19"/>
  <c r="J18" i="19"/>
  <c r="L18" i="19"/>
  <c r="A18" i="19" s="1"/>
  <c r="N18" i="19"/>
  <c r="P18" i="19"/>
  <c r="R18" i="19"/>
  <c r="T18" i="19"/>
  <c r="V18" i="19"/>
  <c r="X18" i="19"/>
  <c r="Z18" i="19"/>
  <c r="AB18" i="19"/>
  <c r="AD18" i="19"/>
  <c r="AF18" i="19"/>
  <c r="AH18" i="19"/>
  <c r="D19" i="19"/>
  <c r="F19" i="19"/>
  <c r="H19" i="19"/>
  <c r="J19" i="19"/>
  <c r="L19" i="19"/>
  <c r="A19" i="19" s="1"/>
  <c r="N19" i="19"/>
  <c r="P19" i="19"/>
  <c r="R19" i="19"/>
  <c r="T19" i="19"/>
  <c r="V19" i="19"/>
  <c r="X19" i="19"/>
  <c r="Z19" i="19"/>
  <c r="AB19" i="19"/>
  <c r="AD19" i="19"/>
  <c r="AF19" i="19"/>
  <c r="AH19" i="19"/>
  <c r="D20" i="19"/>
  <c r="F20" i="19"/>
  <c r="H20" i="19"/>
  <c r="J20" i="19"/>
  <c r="L20" i="19"/>
  <c r="A20" i="19" s="1"/>
  <c r="N20" i="19"/>
  <c r="P20" i="19"/>
  <c r="R20" i="19"/>
  <c r="T20" i="19"/>
  <c r="V20" i="19"/>
  <c r="X20" i="19"/>
  <c r="Z20" i="19"/>
  <c r="AB20" i="19"/>
  <c r="AD20" i="19"/>
  <c r="AF20" i="19"/>
  <c r="AH20" i="19"/>
  <c r="D21" i="19"/>
  <c r="F21" i="19"/>
  <c r="H21" i="19"/>
  <c r="J21" i="19"/>
  <c r="L21" i="19"/>
  <c r="N21" i="19"/>
  <c r="P21" i="19"/>
  <c r="R21" i="19"/>
  <c r="T21" i="19"/>
  <c r="V21" i="19"/>
  <c r="X21" i="19"/>
  <c r="Z21" i="19"/>
  <c r="AB21" i="19"/>
  <c r="AD21" i="19"/>
  <c r="AF21" i="19"/>
  <c r="AH21" i="19"/>
  <c r="D22" i="19"/>
  <c r="F22" i="19"/>
  <c r="H22" i="19"/>
  <c r="J22" i="19"/>
  <c r="L22" i="19"/>
  <c r="A22" i="19" s="1"/>
  <c r="N22" i="19"/>
  <c r="P22" i="19"/>
  <c r="R22" i="19"/>
  <c r="T22" i="19"/>
  <c r="V22" i="19"/>
  <c r="X22" i="19"/>
  <c r="Z22" i="19"/>
  <c r="AB22" i="19"/>
  <c r="AD22" i="19"/>
  <c r="AF22" i="19"/>
  <c r="AH22" i="19"/>
  <c r="D23" i="19"/>
  <c r="F23" i="19"/>
  <c r="H23" i="19"/>
  <c r="J23" i="19"/>
  <c r="L23" i="19"/>
  <c r="A23" i="19" s="1"/>
  <c r="N23" i="19"/>
  <c r="P23" i="19"/>
  <c r="R23" i="19"/>
  <c r="T23" i="19"/>
  <c r="V23" i="19"/>
  <c r="X23" i="19"/>
  <c r="Z23" i="19"/>
  <c r="AB23" i="19"/>
  <c r="AD23" i="19"/>
  <c r="AF23" i="19"/>
  <c r="AH23" i="19"/>
  <c r="D24" i="19"/>
  <c r="F24" i="19"/>
  <c r="H24" i="19"/>
  <c r="J24" i="19"/>
  <c r="L24" i="19"/>
  <c r="A24" i="19" s="1"/>
  <c r="N24" i="19"/>
  <c r="P24" i="19"/>
  <c r="R24" i="19"/>
  <c r="T24" i="19"/>
  <c r="V24" i="19"/>
  <c r="X24" i="19"/>
  <c r="Z24" i="19"/>
  <c r="AB24" i="19"/>
  <c r="AD24" i="19"/>
  <c r="AF24" i="19"/>
  <c r="AH24" i="19"/>
  <c r="D25" i="19"/>
  <c r="F25" i="19"/>
  <c r="H25" i="19"/>
  <c r="J25" i="19"/>
  <c r="L25" i="19"/>
  <c r="A25" i="19" s="1"/>
  <c r="N25" i="19"/>
  <c r="P25" i="19"/>
  <c r="R25" i="19"/>
  <c r="T25" i="19"/>
  <c r="V25" i="19"/>
  <c r="X25" i="19"/>
  <c r="Z25" i="19"/>
  <c r="AB25" i="19"/>
  <c r="AD25" i="19"/>
  <c r="AF25" i="19"/>
  <c r="AH25" i="19"/>
  <c r="D26" i="19"/>
  <c r="F26" i="19"/>
  <c r="H26" i="19"/>
  <c r="J26" i="19"/>
  <c r="L26" i="19"/>
  <c r="N26" i="19"/>
  <c r="P26" i="19"/>
  <c r="R26" i="19"/>
  <c r="T26" i="19"/>
  <c r="V26" i="19"/>
  <c r="X26" i="19"/>
  <c r="Z26" i="19"/>
  <c r="AB26" i="19"/>
  <c r="AD26" i="19"/>
  <c r="AF26" i="19"/>
  <c r="AH26" i="19"/>
  <c r="D27" i="19"/>
  <c r="F27" i="19"/>
  <c r="H27" i="19"/>
  <c r="J27" i="19"/>
  <c r="L27" i="19"/>
  <c r="A27" i="19" s="1"/>
  <c r="N27" i="19"/>
  <c r="P27" i="19"/>
  <c r="R27" i="19"/>
  <c r="T27" i="19"/>
  <c r="V27" i="19"/>
  <c r="X27" i="19"/>
  <c r="Z27" i="19"/>
  <c r="AB27" i="19"/>
  <c r="AD27" i="19"/>
  <c r="AF27" i="19"/>
  <c r="AH27" i="19"/>
  <c r="D28" i="19"/>
  <c r="F28" i="19"/>
  <c r="H28" i="19"/>
  <c r="J28" i="19"/>
  <c r="L28" i="19"/>
  <c r="A28" i="19" s="1"/>
  <c r="N28" i="19"/>
  <c r="P28" i="19"/>
  <c r="R28" i="19"/>
  <c r="T28" i="19"/>
  <c r="V28" i="19"/>
  <c r="X28" i="19"/>
  <c r="Z28" i="19"/>
  <c r="AB28" i="19"/>
  <c r="AD28" i="19"/>
  <c r="AF28" i="19"/>
  <c r="AH28" i="19"/>
  <c r="D29" i="19"/>
  <c r="F29" i="19"/>
  <c r="H29" i="19"/>
  <c r="J29" i="19"/>
  <c r="L29" i="19"/>
  <c r="A29" i="19" s="1"/>
  <c r="N29" i="19"/>
  <c r="P29" i="19"/>
  <c r="R29" i="19"/>
  <c r="T29" i="19"/>
  <c r="V29" i="19"/>
  <c r="X29" i="19"/>
  <c r="Z29" i="19"/>
  <c r="AB29" i="19"/>
  <c r="AD29" i="19"/>
  <c r="AF29" i="19"/>
  <c r="AH29" i="19"/>
  <c r="AH6" i="19"/>
  <c r="AF6" i="19"/>
  <c r="AD6" i="19"/>
  <c r="AB6" i="19"/>
  <c r="Z6" i="19"/>
  <c r="X6" i="19"/>
  <c r="V6" i="19"/>
  <c r="T6" i="19"/>
  <c r="R6" i="19"/>
  <c r="P6" i="19"/>
  <c r="N6" i="19"/>
  <c r="BA8" i="19" s="1"/>
  <c r="L6" i="19"/>
  <c r="AQ8" i="19" s="1"/>
  <c r="J6" i="19"/>
  <c r="H6" i="19"/>
  <c r="F6" i="19"/>
  <c r="D6" i="19"/>
  <c r="AS9" i="19" s="1"/>
  <c r="AS19" i="19" a="1"/>
  <c r="AS19" i="19" s="1"/>
  <c r="A71" i="19"/>
  <c r="A65" i="19"/>
  <c r="A64" i="19"/>
  <c r="A62" i="19"/>
  <c r="A60" i="19"/>
  <c r="A54" i="19"/>
  <c r="A48" i="19"/>
  <c r="A47" i="19"/>
  <c r="A45" i="19"/>
  <c r="A43" i="19"/>
  <c r="A38" i="19"/>
  <c r="A32" i="19"/>
  <c r="A31" i="19"/>
  <c r="A26" i="19"/>
  <c r="A21" i="19"/>
  <c r="AS20" i="19" a="1"/>
  <c r="AS20" i="19" s="1"/>
  <c r="AQ20" i="19" a="1"/>
  <c r="AQ20" i="19" s="1"/>
  <c r="AO20" i="19" a="1"/>
  <c r="AO20" i="19" s="1"/>
  <c r="BA19" i="19" a="1"/>
  <c r="BA19" i="19" s="1"/>
  <c r="AY19" i="19" a="1"/>
  <c r="AY19" i="19" s="1"/>
  <c r="AW19" i="19" a="1"/>
  <c r="AW19" i="19" s="1"/>
  <c r="AQ19" i="19" a="1"/>
  <c r="AQ19" i="19" s="1"/>
  <c r="AO19" i="19" a="1"/>
  <c r="AO19" i="19" s="1"/>
  <c r="BA18" i="19" a="1"/>
  <c r="BA18" i="19" s="1"/>
  <c r="AO18" i="19" a="1"/>
  <c r="AO18" i="19" s="1"/>
  <c r="AS15" i="19" a="1"/>
  <c r="AS15" i="19" s="1"/>
  <c r="AQ15" i="19" a="1"/>
  <c r="AQ15" i="19" s="1"/>
  <c r="AO15" i="19" a="1"/>
  <c r="AO15" i="19" s="1"/>
  <c r="A15" i="19"/>
  <c r="BA14" i="19" a="1"/>
  <c r="BA14" i="19" s="1"/>
  <c r="AY14" i="19" a="1"/>
  <c r="AY14" i="19" s="1"/>
  <c r="AW14" i="19" a="1"/>
  <c r="AW14" i="19" s="1"/>
  <c r="AS14" i="19" a="1"/>
  <c r="AS14" i="19" s="1"/>
  <c r="AQ14" i="19" a="1"/>
  <c r="AQ14" i="19" s="1"/>
  <c r="AO14" i="19" a="1"/>
  <c r="AO14" i="19" s="1"/>
  <c r="AY13" i="19" a="1"/>
  <c r="AY13" i="19" s="1"/>
  <c r="AW13" i="19" a="1"/>
  <c r="AW13" i="19" s="1"/>
  <c r="A12" i="19"/>
  <c r="A11" i="19"/>
  <c r="AO10" i="19"/>
  <c r="BA9" i="19"/>
  <c r="AO8" i="19"/>
  <c r="A7" i="19"/>
  <c r="V8" i="10"/>
  <c r="O3" i="10"/>
  <c r="H3" i="10"/>
  <c r="I4" i="10"/>
  <c r="I3" i="10"/>
  <c r="P75" i="14"/>
  <c r="O75" i="14"/>
  <c r="N75" i="14"/>
  <c r="L75" i="14"/>
  <c r="K75" i="14"/>
  <c r="J75" i="14"/>
  <c r="P74" i="14"/>
  <c r="O74" i="14"/>
  <c r="N74" i="14"/>
  <c r="L74" i="14"/>
  <c r="K74" i="14"/>
  <c r="J74" i="14"/>
  <c r="P73" i="14"/>
  <c r="O73" i="14"/>
  <c r="N73" i="14"/>
  <c r="L73" i="14"/>
  <c r="K73" i="14"/>
  <c r="J73" i="14"/>
  <c r="P72" i="14"/>
  <c r="O72" i="14"/>
  <c r="N72" i="14"/>
  <c r="L72" i="14"/>
  <c r="K72" i="14"/>
  <c r="J72" i="14"/>
  <c r="P71" i="14"/>
  <c r="O71" i="14"/>
  <c r="N71" i="14"/>
  <c r="L71" i="14"/>
  <c r="K71" i="14"/>
  <c r="J71" i="14"/>
  <c r="P70" i="14"/>
  <c r="O70" i="14"/>
  <c r="N70" i="14"/>
  <c r="L70" i="14"/>
  <c r="K70" i="14"/>
  <c r="J70" i="14"/>
  <c r="P69" i="14"/>
  <c r="O69" i="14"/>
  <c r="N69" i="14"/>
  <c r="L69" i="14"/>
  <c r="K69" i="14"/>
  <c r="J69" i="14"/>
  <c r="P68" i="14"/>
  <c r="O68" i="14"/>
  <c r="N68" i="14"/>
  <c r="L68" i="14"/>
  <c r="K68" i="14"/>
  <c r="J68" i="14"/>
  <c r="P67" i="14"/>
  <c r="O67" i="14"/>
  <c r="N67" i="14"/>
  <c r="L67" i="14"/>
  <c r="K67" i="14"/>
  <c r="J67" i="14"/>
  <c r="P66" i="14"/>
  <c r="O66" i="14"/>
  <c r="N66" i="14"/>
  <c r="L66" i="14"/>
  <c r="K66" i="14"/>
  <c r="J66" i="14"/>
  <c r="P65" i="14"/>
  <c r="O65" i="14"/>
  <c r="N65" i="14"/>
  <c r="L65" i="14"/>
  <c r="K65" i="14"/>
  <c r="J65" i="14"/>
  <c r="P64" i="14"/>
  <c r="O64" i="14"/>
  <c r="N64" i="14"/>
  <c r="L64" i="14"/>
  <c r="K64" i="14"/>
  <c r="J64" i="14"/>
  <c r="P63" i="14"/>
  <c r="O63" i="14"/>
  <c r="N63" i="14"/>
  <c r="L63" i="14"/>
  <c r="K63" i="14"/>
  <c r="J63" i="14"/>
  <c r="P62" i="14"/>
  <c r="O62" i="14"/>
  <c r="N62" i="14"/>
  <c r="L62" i="14"/>
  <c r="K62" i="14"/>
  <c r="J62" i="14"/>
  <c r="P61" i="14"/>
  <c r="O61" i="14"/>
  <c r="N61" i="14"/>
  <c r="L61" i="14"/>
  <c r="K61" i="14"/>
  <c r="J61" i="14"/>
  <c r="P60" i="14"/>
  <c r="O60" i="14"/>
  <c r="N60" i="14"/>
  <c r="L60" i="14"/>
  <c r="K60" i="14"/>
  <c r="J60" i="14"/>
  <c r="P59" i="14"/>
  <c r="O59" i="14"/>
  <c r="N59" i="14"/>
  <c r="L59" i="14"/>
  <c r="K59" i="14"/>
  <c r="J59" i="14"/>
  <c r="P58" i="14"/>
  <c r="O58" i="14"/>
  <c r="N58" i="14"/>
  <c r="L58" i="14"/>
  <c r="K58" i="14"/>
  <c r="J58" i="14"/>
  <c r="P57" i="14"/>
  <c r="O57" i="14"/>
  <c r="N57" i="14"/>
  <c r="L57" i="14"/>
  <c r="K57" i="14"/>
  <c r="J57" i="14"/>
  <c r="P56" i="14"/>
  <c r="O56" i="14"/>
  <c r="N56" i="14"/>
  <c r="L56" i="14"/>
  <c r="K56" i="14"/>
  <c r="J56" i="14"/>
  <c r="P55" i="14"/>
  <c r="O55" i="14"/>
  <c r="N55" i="14"/>
  <c r="L55" i="14"/>
  <c r="K55" i="14"/>
  <c r="J55" i="14"/>
  <c r="P54" i="14"/>
  <c r="O54" i="14"/>
  <c r="N54" i="14"/>
  <c r="L54" i="14"/>
  <c r="K54" i="14"/>
  <c r="J54" i="14"/>
  <c r="P53" i="14"/>
  <c r="O53" i="14"/>
  <c r="N53" i="14"/>
  <c r="L53" i="14"/>
  <c r="K53" i="14"/>
  <c r="J53" i="14"/>
  <c r="P52" i="14"/>
  <c r="O52" i="14"/>
  <c r="N52" i="14"/>
  <c r="L52" i="14"/>
  <c r="K52" i="14"/>
  <c r="J52" i="14"/>
  <c r="P51" i="14"/>
  <c r="O51" i="14"/>
  <c r="N51" i="14"/>
  <c r="L51" i="14"/>
  <c r="K51" i="14"/>
  <c r="J51" i="14"/>
  <c r="P50" i="14"/>
  <c r="O50" i="14"/>
  <c r="N50" i="14"/>
  <c r="L50" i="14"/>
  <c r="K50" i="14"/>
  <c r="J50" i="14"/>
  <c r="P49" i="14"/>
  <c r="O49" i="14"/>
  <c r="N49" i="14"/>
  <c r="L49" i="14"/>
  <c r="K49" i="14"/>
  <c r="J49" i="14"/>
  <c r="P48" i="14"/>
  <c r="O48" i="14"/>
  <c r="N48" i="14"/>
  <c r="L48" i="14"/>
  <c r="K48" i="14"/>
  <c r="J48" i="14"/>
  <c r="P47" i="14"/>
  <c r="O47" i="14"/>
  <c r="N47" i="14"/>
  <c r="L47" i="14"/>
  <c r="K47" i="14"/>
  <c r="J47" i="14"/>
  <c r="P46" i="14"/>
  <c r="O46" i="14"/>
  <c r="N46" i="14"/>
  <c r="L46" i="14"/>
  <c r="K46" i="14"/>
  <c r="J46" i="14"/>
  <c r="P45" i="14"/>
  <c r="O45" i="14"/>
  <c r="N45" i="14"/>
  <c r="L45" i="14"/>
  <c r="K45" i="14"/>
  <c r="J45" i="14"/>
  <c r="P44" i="14"/>
  <c r="O44" i="14"/>
  <c r="N44" i="14"/>
  <c r="L44" i="14"/>
  <c r="K44" i="14"/>
  <c r="J44" i="14"/>
  <c r="P43" i="14"/>
  <c r="O43" i="14"/>
  <c r="N43" i="14"/>
  <c r="L43" i="14"/>
  <c r="K43" i="14"/>
  <c r="J43" i="14"/>
  <c r="P42" i="14"/>
  <c r="O42" i="14"/>
  <c r="N42" i="14"/>
  <c r="L42" i="14"/>
  <c r="K42" i="14"/>
  <c r="J42" i="14"/>
  <c r="P41" i="14"/>
  <c r="O41" i="14"/>
  <c r="N41" i="14"/>
  <c r="L41" i="14"/>
  <c r="K41" i="14"/>
  <c r="J41" i="14"/>
  <c r="P40" i="14"/>
  <c r="O40" i="14"/>
  <c r="N40" i="14"/>
  <c r="L40" i="14"/>
  <c r="K40" i="14"/>
  <c r="J40" i="14"/>
  <c r="P39" i="14"/>
  <c r="O39" i="14"/>
  <c r="N39" i="14"/>
  <c r="L39" i="14"/>
  <c r="K39" i="14"/>
  <c r="J39" i="14"/>
  <c r="P38" i="14"/>
  <c r="O38" i="14"/>
  <c r="N38" i="14"/>
  <c r="L38" i="14"/>
  <c r="K38" i="14"/>
  <c r="J38" i="14"/>
  <c r="P37" i="14"/>
  <c r="O37" i="14"/>
  <c r="N37" i="14"/>
  <c r="L37" i="14"/>
  <c r="K37" i="14"/>
  <c r="J37" i="14"/>
  <c r="P36" i="14"/>
  <c r="O36" i="14"/>
  <c r="N36" i="14"/>
  <c r="L36" i="14"/>
  <c r="K36" i="14"/>
  <c r="J36" i="14"/>
  <c r="P35" i="14"/>
  <c r="O35" i="14"/>
  <c r="N35" i="14"/>
  <c r="L35" i="14"/>
  <c r="K35" i="14"/>
  <c r="J35" i="14"/>
  <c r="P34" i="14"/>
  <c r="O34" i="14"/>
  <c r="N34" i="14"/>
  <c r="L34" i="14"/>
  <c r="K34" i="14"/>
  <c r="J34" i="14"/>
  <c r="P33" i="14"/>
  <c r="O33" i="14"/>
  <c r="N33" i="14"/>
  <c r="L33" i="14"/>
  <c r="K33" i="14"/>
  <c r="J33" i="14"/>
  <c r="P32" i="14"/>
  <c r="O32" i="14"/>
  <c r="N32" i="14"/>
  <c r="L32" i="14"/>
  <c r="K32" i="14"/>
  <c r="J32" i="14"/>
  <c r="P31" i="14"/>
  <c r="O31" i="14"/>
  <c r="N31" i="14"/>
  <c r="L31" i="14"/>
  <c r="K31" i="14"/>
  <c r="J31" i="14"/>
  <c r="P30" i="14"/>
  <c r="O30" i="14"/>
  <c r="N30" i="14"/>
  <c r="L30" i="14"/>
  <c r="K30" i="14"/>
  <c r="J30" i="14"/>
  <c r="P29" i="14"/>
  <c r="O29" i="14"/>
  <c r="N29" i="14"/>
  <c r="L29" i="14"/>
  <c r="K29" i="14"/>
  <c r="J29" i="14"/>
  <c r="P28" i="14"/>
  <c r="O28" i="14"/>
  <c r="N28" i="14"/>
  <c r="L28" i="14"/>
  <c r="K28" i="14"/>
  <c r="J28" i="14"/>
  <c r="P27" i="14"/>
  <c r="O27" i="14"/>
  <c r="N27" i="14"/>
  <c r="L27" i="14"/>
  <c r="K27" i="14"/>
  <c r="J27" i="14"/>
  <c r="P26" i="14"/>
  <c r="O26" i="14"/>
  <c r="N26" i="14"/>
  <c r="L26" i="14"/>
  <c r="K26" i="14"/>
  <c r="J26" i="14"/>
  <c r="P25" i="14"/>
  <c r="O25" i="14"/>
  <c r="N25" i="14"/>
  <c r="L25" i="14"/>
  <c r="K25" i="14"/>
  <c r="J25" i="14"/>
  <c r="P24" i="14"/>
  <c r="O24" i="14"/>
  <c r="N24" i="14"/>
  <c r="L24" i="14"/>
  <c r="K24" i="14"/>
  <c r="J24" i="14"/>
  <c r="P23" i="14"/>
  <c r="O23" i="14"/>
  <c r="N23" i="14"/>
  <c r="L23" i="14"/>
  <c r="K23" i="14"/>
  <c r="J23" i="14"/>
  <c r="P22" i="14"/>
  <c r="O22" i="14"/>
  <c r="N22" i="14"/>
  <c r="L22" i="14"/>
  <c r="K22" i="14"/>
  <c r="J22" i="14"/>
  <c r="P21" i="14"/>
  <c r="O21" i="14"/>
  <c r="N21" i="14"/>
  <c r="L21" i="14"/>
  <c r="K21" i="14"/>
  <c r="J21" i="14"/>
  <c r="P20" i="14"/>
  <c r="O20" i="14"/>
  <c r="N20" i="14"/>
  <c r="L20" i="14"/>
  <c r="K20" i="14"/>
  <c r="J20" i="14"/>
  <c r="P19" i="14"/>
  <c r="O19" i="14"/>
  <c r="N19" i="14"/>
  <c r="L19" i="14"/>
  <c r="K19" i="14"/>
  <c r="J19" i="14"/>
  <c r="P18" i="14"/>
  <c r="O18" i="14"/>
  <c r="N18" i="14"/>
  <c r="L18" i="14"/>
  <c r="K18" i="14"/>
  <c r="J18" i="14"/>
  <c r="P17" i="14"/>
  <c r="O17" i="14"/>
  <c r="N17" i="14"/>
  <c r="L17" i="14"/>
  <c r="K17" i="14"/>
  <c r="J17" i="14"/>
  <c r="P16" i="14"/>
  <c r="O16" i="14"/>
  <c r="N16" i="14"/>
  <c r="L16" i="14"/>
  <c r="K16" i="14"/>
  <c r="J16" i="14"/>
  <c r="P15" i="14"/>
  <c r="O15" i="14"/>
  <c r="N15" i="14"/>
  <c r="L15" i="14"/>
  <c r="K15" i="14"/>
  <c r="J15" i="14"/>
  <c r="P14" i="14"/>
  <c r="O14" i="14"/>
  <c r="N14" i="14"/>
  <c r="L14" i="14"/>
  <c r="K14" i="14"/>
  <c r="J14" i="14"/>
  <c r="P13" i="14"/>
  <c r="O13" i="14"/>
  <c r="N13" i="14"/>
  <c r="L13" i="14"/>
  <c r="K13" i="14"/>
  <c r="J13" i="14"/>
  <c r="P12" i="14"/>
  <c r="O12" i="14"/>
  <c r="N12" i="14"/>
  <c r="L12" i="14"/>
  <c r="K12" i="14"/>
  <c r="J12" i="14"/>
  <c r="P11" i="14"/>
  <c r="O11" i="14"/>
  <c r="N11" i="14"/>
  <c r="L11" i="14"/>
  <c r="K11" i="14"/>
  <c r="J11" i="14"/>
  <c r="P10" i="14"/>
  <c r="O10" i="14"/>
  <c r="N10" i="14"/>
  <c r="L10" i="14"/>
  <c r="K10" i="14"/>
  <c r="J10" i="14"/>
  <c r="P9" i="14"/>
  <c r="O9" i="14"/>
  <c r="N9" i="14"/>
  <c r="L9" i="14"/>
  <c r="K9" i="14"/>
  <c r="J9" i="14"/>
  <c r="P8" i="14"/>
  <c r="O8" i="14"/>
  <c r="N8" i="14"/>
  <c r="L8" i="14"/>
  <c r="K8" i="14"/>
  <c r="J8" i="14"/>
  <c r="P7" i="14"/>
  <c r="O7" i="14"/>
  <c r="N7" i="14"/>
  <c r="L7" i="14"/>
  <c r="K7" i="14"/>
  <c r="J7" i="14"/>
  <c r="P6" i="14"/>
  <c r="O6" i="14"/>
  <c r="N6" i="14"/>
  <c r="L6" i="14"/>
  <c r="K6" i="14"/>
  <c r="J6" i="14"/>
  <c r="P5" i="14"/>
  <c r="O5" i="14"/>
  <c r="N5" i="14"/>
  <c r="L5" i="14"/>
  <c r="K5" i="14"/>
  <c r="J5" i="14"/>
  <c r="P4" i="14"/>
  <c r="O4" i="14"/>
  <c r="N4" i="14"/>
  <c r="L4" i="14"/>
  <c r="K4" i="14"/>
  <c r="J4" i="14"/>
  <c r="L74" i="10"/>
  <c r="K74" i="10"/>
  <c r="J74" i="10"/>
  <c r="I74" i="10"/>
  <c r="H74" i="10"/>
  <c r="L73" i="10"/>
  <c r="K73" i="10"/>
  <c r="J73" i="10"/>
  <c r="I73" i="10"/>
  <c r="H73" i="10"/>
  <c r="L72" i="10"/>
  <c r="K72" i="10"/>
  <c r="J72" i="10"/>
  <c r="I72" i="10"/>
  <c r="H72" i="10"/>
  <c r="L71" i="10"/>
  <c r="K71" i="10"/>
  <c r="J71" i="10"/>
  <c r="I71" i="10"/>
  <c r="H71" i="10"/>
  <c r="L70" i="10"/>
  <c r="K70" i="10"/>
  <c r="J70" i="10"/>
  <c r="I70" i="10"/>
  <c r="H70" i="10"/>
  <c r="L69" i="10"/>
  <c r="K69" i="10"/>
  <c r="J69" i="10"/>
  <c r="I69" i="10"/>
  <c r="H69" i="10"/>
  <c r="L68" i="10"/>
  <c r="K68" i="10"/>
  <c r="J68" i="10"/>
  <c r="I68" i="10"/>
  <c r="H68" i="10"/>
  <c r="L67" i="10"/>
  <c r="K67" i="10"/>
  <c r="J67" i="10"/>
  <c r="I67" i="10"/>
  <c r="H67" i="10"/>
  <c r="L66" i="10"/>
  <c r="K66" i="10"/>
  <c r="J66" i="10"/>
  <c r="I66" i="10"/>
  <c r="H66" i="10"/>
  <c r="L65" i="10"/>
  <c r="K65" i="10"/>
  <c r="J65" i="10"/>
  <c r="I65" i="10"/>
  <c r="H65" i="10"/>
  <c r="L64" i="10"/>
  <c r="K64" i="10"/>
  <c r="J64" i="10"/>
  <c r="I64" i="10"/>
  <c r="H64" i="10"/>
  <c r="L63" i="10"/>
  <c r="K63" i="10"/>
  <c r="J63" i="10"/>
  <c r="I63" i="10"/>
  <c r="H63" i="10"/>
  <c r="L62" i="10"/>
  <c r="K62" i="10"/>
  <c r="J62" i="10"/>
  <c r="I62" i="10"/>
  <c r="H62" i="10"/>
  <c r="L61" i="10"/>
  <c r="K61" i="10"/>
  <c r="J61" i="10"/>
  <c r="I61" i="10"/>
  <c r="H61" i="10"/>
  <c r="L60" i="10"/>
  <c r="K60" i="10"/>
  <c r="J60" i="10"/>
  <c r="I60" i="10"/>
  <c r="H60" i="10"/>
  <c r="L59" i="10"/>
  <c r="K59" i="10"/>
  <c r="J59" i="10"/>
  <c r="I59" i="10"/>
  <c r="H59" i="10"/>
  <c r="L58" i="10"/>
  <c r="K58" i="10"/>
  <c r="J58" i="10"/>
  <c r="I58" i="10"/>
  <c r="H58" i="10"/>
  <c r="L57" i="10"/>
  <c r="K57" i="10"/>
  <c r="J57" i="10"/>
  <c r="I57" i="10"/>
  <c r="H57" i="10"/>
  <c r="L56" i="10"/>
  <c r="K56" i="10"/>
  <c r="J56" i="10"/>
  <c r="I56" i="10"/>
  <c r="H56" i="10"/>
  <c r="L55" i="10"/>
  <c r="K55" i="10"/>
  <c r="J55" i="10"/>
  <c r="I55" i="10"/>
  <c r="H55" i="10"/>
  <c r="L54" i="10"/>
  <c r="K54" i="10"/>
  <c r="J54" i="10"/>
  <c r="I54" i="10"/>
  <c r="H54" i="10"/>
  <c r="L53" i="10"/>
  <c r="K53" i="10"/>
  <c r="J53" i="10"/>
  <c r="I53" i="10"/>
  <c r="H53" i="10"/>
  <c r="L52" i="10"/>
  <c r="K52" i="10"/>
  <c r="J52" i="10"/>
  <c r="I52" i="10"/>
  <c r="H52" i="10"/>
  <c r="L51" i="10"/>
  <c r="K51" i="10"/>
  <c r="J51" i="10"/>
  <c r="I51" i="10"/>
  <c r="H51" i="10"/>
  <c r="L50" i="10"/>
  <c r="K50" i="10"/>
  <c r="J50" i="10"/>
  <c r="I50" i="10"/>
  <c r="H50" i="10"/>
  <c r="L49" i="10"/>
  <c r="K49" i="10"/>
  <c r="J49" i="10"/>
  <c r="I49" i="10"/>
  <c r="H49" i="10"/>
  <c r="L48" i="10"/>
  <c r="K48" i="10"/>
  <c r="J48" i="10"/>
  <c r="I48" i="10"/>
  <c r="H48" i="10"/>
  <c r="L47" i="10"/>
  <c r="K47" i="10"/>
  <c r="J47" i="10"/>
  <c r="I47" i="10"/>
  <c r="H47" i="10"/>
  <c r="L46" i="10"/>
  <c r="K46" i="10"/>
  <c r="J46" i="10"/>
  <c r="I46" i="10"/>
  <c r="H46" i="10"/>
  <c r="L45" i="10"/>
  <c r="K45" i="10"/>
  <c r="J45" i="10"/>
  <c r="I45" i="10"/>
  <c r="H45" i="10"/>
  <c r="L44" i="10"/>
  <c r="K44" i="10"/>
  <c r="J44" i="10"/>
  <c r="I44" i="10"/>
  <c r="H44" i="10"/>
  <c r="L43" i="10"/>
  <c r="K43" i="10"/>
  <c r="J43" i="10"/>
  <c r="I43" i="10"/>
  <c r="H43" i="10"/>
  <c r="L42" i="10"/>
  <c r="K42" i="10"/>
  <c r="J42" i="10"/>
  <c r="I42" i="10"/>
  <c r="H42" i="10"/>
  <c r="L41" i="10"/>
  <c r="K41" i="10"/>
  <c r="J41" i="10"/>
  <c r="I41" i="10"/>
  <c r="H41" i="10"/>
  <c r="L40" i="10"/>
  <c r="K40" i="10"/>
  <c r="J40" i="10"/>
  <c r="I40" i="10"/>
  <c r="H40" i="10"/>
  <c r="L39" i="10"/>
  <c r="K39" i="10"/>
  <c r="J39" i="10"/>
  <c r="I39" i="10"/>
  <c r="H39" i="10"/>
  <c r="L38" i="10"/>
  <c r="K38" i="10"/>
  <c r="J38" i="10"/>
  <c r="I38" i="10"/>
  <c r="H38" i="10"/>
  <c r="L37" i="10"/>
  <c r="K37" i="10"/>
  <c r="J37" i="10"/>
  <c r="I37" i="10"/>
  <c r="H37" i="10"/>
  <c r="L36" i="10"/>
  <c r="K36" i="10"/>
  <c r="J36" i="10"/>
  <c r="I36" i="10"/>
  <c r="H36" i="10"/>
  <c r="L35" i="10"/>
  <c r="K35" i="10"/>
  <c r="J35" i="10"/>
  <c r="I35" i="10"/>
  <c r="H35" i="10"/>
  <c r="L34" i="10"/>
  <c r="K34" i="10"/>
  <c r="J34" i="10"/>
  <c r="I34" i="10"/>
  <c r="H34" i="10"/>
  <c r="L33" i="10"/>
  <c r="K33" i="10"/>
  <c r="J33" i="10"/>
  <c r="I33" i="10"/>
  <c r="H33" i="10"/>
  <c r="L32" i="10"/>
  <c r="K32" i="10"/>
  <c r="J32" i="10"/>
  <c r="I32" i="10"/>
  <c r="H32" i="10"/>
  <c r="L31" i="10"/>
  <c r="K31" i="10"/>
  <c r="J31" i="10"/>
  <c r="I31" i="10"/>
  <c r="H31" i="10"/>
  <c r="L30" i="10"/>
  <c r="K30" i="10"/>
  <c r="J30" i="10"/>
  <c r="I30" i="10"/>
  <c r="H30" i="10"/>
  <c r="L29" i="10"/>
  <c r="K29" i="10"/>
  <c r="J29" i="10"/>
  <c r="I29" i="10"/>
  <c r="H29" i="10"/>
  <c r="L28" i="10"/>
  <c r="K28" i="10"/>
  <c r="J28" i="10"/>
  <c r="I28" i="10"/>
  <c r="H28" i="10"/>
  <c r="L27" i="10"/>
  <c r="K27" i="10"/>
  <c r="J27" i="10"/>
  <c r="I27" i="10"/>
  <c r="H27" i="10"/>
  <c r="L26" i="10"/>
  <c r="K26" i="10"/>
  <c r="J26" i="10"/>
  <c r="I26" i="10"/>
  <c r="H26" i="10"/>
  <c r="L25" i="10"/>
  <c r="K25" i="10"/>
  <c r="J25" i="10"/>
  <c r="I25" i="10"/>
  <c r="H25" i="10"/>
  <c r="L24" i="10"/>
  <c r="K24" i="10"/>
  <c r="J24" i="10"/>
  <c r="I24" i="10"/>
  <c r="H24" i="10"/>
  <c r="L23" i="10"/>
  <c r="K23" i="10"/>
  <c r="J23" i="10"/>
  <c r="I23" i="10"/>
  <c r="H23" i="10"/>
  <c r="L22" i="10"/>
  <c r="K22" i="10"/>
  <c r="J22" i="10"/>
  <c r="I22" i="10"/>
  <c r="H22" i="10"/>
  <c r="L21" i="10"/>
  <c r="K21" i="10"/>
  <c r="J21" i="10"/>
  <c r="I21" i="10"/>
  <c r="H21" i="10"/>
  <c r="L20" i="10"/>
  <c r="K20" i="10"/>
  <c r="J20" i="10"/>
  <c r="I20" i="10"/>
  <c r="H20" i="10"/>
  <c r="L19" i="10"/>
  <c r="K19" i="10"/>
  <c r="J19" i="10"/>
  <c r="I19" i="10"/>
  <c r="H19" i="10"/>
  <c r="L18" i="10"/>
  <c r="K18" i="10"/>
  <c r="J18" i="10"/>
  <c r="I18" i="10"/>
  <c r="H18" i="10"/>
  <c r="L17" i="10"/>
  <c r="K17" i="10"/>
  <c r="J17" i="10"/>
  <c r="I17" i="10"/>
  <c r="H17" i="10"/>
  <c r="L16" i="10"/>
  <c r="K16" i="10"/>
  <c r="J16" i="10"/>
  <c r="I16" i="10"/>
  <c r="H16" i="10"/>
  <c r="L15" i="10"/>
  <c r="K15" i="10"/>
  <c r="J15" i="10"/>
  <c r="I15" i="10"/>
  <c r="H15" i="10"/>
  <c r="L14" i="10"/>
  <c r="K14" i="10"/>
  <c r="J14" i="10"/>
  <c r="I14" i="10"/>
  <c r="H14" i="10"/>
  <c r="L13" i="10"/>
  <c r="K13" i="10"/>
  <c r="J13" i="10"/>
  <c r="I13" i="10"/>
  <c r="H13" i="10"/>
  <c r="L12" i="10"/>
  <c r="K12" i="10"/>
  <c r="J12" i="10"/>
  <c r="I12" i="10"/>
  <c r="H12" i="10"/>
  <c r="L11" i="10"/>
  <c r="K11" i="10"/>
  <c r="J11" i="10"/>
  <c r="I11" i="10"/>
  <c r="H11" i="10"/>
  <c r="L10" i="10"/>
  <c r="K10" i="10"/>
  <c r="J10" i="10"/>
  <c r="I10" i="10"/>
  <c r="H10" i="10"/>
  <c r="L9" i="10"/>
  <c r="K9" i="10"/>
  <c r="J9" i="10"/>
  <c r="I9" i="10"/>
  <c r="H9" i="10"/>
  <c r="L8" i="10"/>
  <c r="K8" i="10"/>
  <c r="J8" i="10"/>
  <c r="I8" i="10"/>
  <c r="H8" i="10"/>
  <c r="L7" i="10"/>
  <c r="K7" i="10"/>
  <c r="J7" i="10"/>
  <c r="I7" i="10"/>
  <c r="H7" i="10"/>
  <c r="L6" i="10"/>
  <c r="K6" i="10"/>
  <c r="J6" i="10"/>
  <c r="I6" i="10"/>
  <c r="H6" i="10"/>
  <c r="L5" i="10"/>
  <c r="K5" i="10"/>
  <c r="J5" i="10"/>
  <c r="I5" i="10"/>
  <c r="H5" i="10"/>
  <c r="L4" i="10"/>
  <c r="K4" i="10"/>
  <c r="J4" i="10"/>
  <c r="H4" i="10"/>
  <c r="L3" i="10"/>
  <c r="K3" i="10"/>
  <c r="J3" i="10"/>
  <c r="V19" i="22" l="1"/>
  <c r="V3" i="22"/>
  <c r="Q7" i="22"/>
  <c r="P7" i="22"/>
  <c r="Y7" i="22" s="1"/>
  <c r="R12" i="22"/>
  <c r="S12" i="22"/>
  <c r="S7" i="22"/>
  <c r="R7" i="22"/>
  <c r="V12" i="22"/>
  <c r="V36" i="22"/>
  <c r="Q49" i="22"/>
  <c r="P49" i="22"/>
  <c r="Y49" i="22" s="1"/>
  <c r="P55" i="22"/>
  <c r="Q55" i="22"/>
  <c r="N8" i="22"/>
  <c r="V8" i="22" s="1"/>
  <c r="S69" i="22"/>
  <c r="O3" i="22"/>
  <c r="S8" i="22"/>
  <c r="N21" i="22"/>
  <c r="V21" i="22" s="1"/>
  <c r="Q32" i="22"/>
  <c r="Y32" i="22" s="1"/>
  <c r="P45" i="22"/>
  <c r="Y45" i="22" s="1"/>
  <c r="S56" i="22"/>
  <c r="S64" i="22"/>
  <c r="R64" i="22"/>
  <c r="O67" i="22"/>
  <c r="V67" i="22" s="1"/>
  <c r="Y72" i="22"/>
  <c r="P34" i="22"/>
  <c r="Y34" i="22" s="1"/>
  <c r="R23" i="22"/>
  <c r="S23" i="22"/>
  <c r="P6" i="22"/>
  <c r="Y6" i="22" s="1"/>
  <c r="O9" i="22"/>
  <c r="N9" i="22"/>
  <c r="V9" i="22" s="1"/>
  <c r="O19" i="22"/>
  <c r="S40" i="22"/>
  <c r="R40" i="22"/>
  <c r="P43" i="22"/>
  <c r="Y43" i="22" s="1"/>
  <c r="N57" i="22"/>
  <c r="O57" i="22"/>
  <c r="U77" i="22" s="1"/>
  <c r="S62" i="22"/>
  <c r="R62" i="22"/>
  <c r="S67" i="22"/>
  <c r="P75" i="22"/>
  <c r="Q75" i="22"/>
  <c r="R6" i="22"/>
  <c r="P19" i="22"/>
  <c r="Y19" i="22" s="1"/>
  <c r="R21" i="22"/>
  <c r="O51" i="22"/>
  <c r="N51" i="22"/>
  <c r="V51" i="22" s="1"/>
  <c r="Q57" i="22"/>
  <c r="P57" i="22"/>
  <c r="S75" i="22"/>
  <c r="R75" i="22"/>
  <c r="S49" i="22"/>
  <c r="R49" i="22"/>
  <c r="P25" i="22"/>
  <c r="Y25" i="22" s="1"/>
  <c r="Q25" i="22"/>
  <c r="S25" i="22"/>
  <c r="R25" i="22"/>
  <c r="Q31" i="22"/>
  <c r="P31" i="22"/>
  <c r="O66" i="22"/>
  <c r="N66" i="22"/>
  <c r="V66" i="22" s="1"/>
  <c r="O18" i="22"/>
  <c r="N18" i="22"/>
  <c r="N25" i="22"/>
  <c r="V25" i="22" s="1"/>
  <c r="S66" i="22"/>
  <c r="R66" i="22"/>
  <c r="P69" i="22"/>
  <c r="Y69" i="22" s="1"/>
  <c r="R10" i="22"/>
  <c r="S15" i="22"/>
  <c r="P53" i="22"/>
  <c r="R3" i="22"/>
  <c r="S3" i="22"/>
  <c r="Q29" i="22"/>
  <c r="P29" i="22"/>
  <c r="N45" i="22"/>
  <c r="V45" i="22" s="1"/>
  <c r="P56" i="22"/>
  <c r="Y56" i="22" s="1"/>
  <c r="P23" i="22"/>
  <c r="Y23" i="22" s="1"/>
  <c r="Q47" i="22"/>
  <c r="Y47" i="22" s="1"/>
  <c r="Q64" i="22"/>
  <c r="X77" i="22" s="1"/>
  <c r="P64" i="22"/>
  <c r="Y64" i="22" s="1"/>
  <c r="N16" i="22"/>
  <c r="O16" i="22"/>
  <c r="N17" i="22"/>
  <c r="V17" i="22" s="1"/>
  <c r="N31" i="22"/>
  <c r="O31" i="22"/>
  <c r="U52" i="22" s="1"/>
  <c r="P5" i="22"/>
  <c r="Y5" i="22" s="1"/>
  <c r="Q5" i="22"/>
  <c r="X27" i="22" s="1"/>
  <c r="R53" i="22"/>
  <c r="S53" i="22"/>
  <c r="O69" i="22"/>
  <c r="V69" i="22" s="1"/>
  <c r="S5" i="22"/>
  <c r="R5" i="22"/>
  <c r="S47" i="22"/>
  <c r="R47" i="22"/>
  <c r="N53" i="22"/>
  <c r="N5" i="22"/>
  <c r="V5" i="22" s="1"/>
  <c r="R34" i="22"/>
  <c r="Q42" i="22"/>
  <c r="P42" i="22"/>
  <c r="Y42" i="22" s="1"/>
  <c r="P8" i="22"/>
  <c r="Y8" i="22" s="1"/>
  <c r="N23" i="22"/>
  <c r="V23" i="22" s="1"/>
  <c r="O32" i="22"/>
  <c r="V32" i="22" s="1"/>
  <c r="P26" i="22"/>
  <c r="Y26" i="22" s="1"/>
  <c r="P3" i="22"/>
  <c r="Q16" i="22"/>
  <c r="P16" i="22"/>
  <c r="Y16" i="22" s="1"/>
  <c r="R26" i="22"/>
  <c r="R32" i="22"/>
  <c r="N64" i="22"/>
  <c r="V64" i="22" s="1"/>
  <c r="S16" i="22"/>
  <c r="R16" i="22"/>
  <c r="Q51" i="22"/>
  <c r="P51" i="22"/>
  <c r="Y51" i="22" s="1"/>
  <c r="N75" i="22"/>
  <c r="V75" i="22" s="1"/>
  <c r="S14" i="22"/>
  <c r="R14" i="22"/>
  <c r="R19" i="22"/>
  <c r="S38" i="22"/>
  <c r="R38" i="22"/>
  <c r="S43" i="22"/>
  <c r="S51" i="22"/>
  <c r="R51" i="22"/>
  <c r="N60" i="22"/>
  <c r="V60" i="22" s="1"/>
  <c r="P62" i="22"/>
  <c r="Y62" i="22" s="1"/>
  <c r="O68" i="22"/>
  <c r="N68" i="22"/>
  <c r="V68" i="22" s="1"/>
  <c r="N14" i="22"/>
  <c r="V14" i="22" s="1"/>
  <c r="N38" i="22"/>
  <c r="V38" i="22" s="1"/>
  <c r="R73" i="22"/>
  <c r="S73" i="22"/>
  <c r="S55" i="22"/>
  <c r="R55" i="22"/>
  <c r="S31" i="22"/>
  <c r="R31" i="22"/>
  <c r="Q66" i="22"/>
  <c r="P66" i="22"/>
  <c r="Y66" i="22" s="1"/>
  <c r="N42" i="22"/>
  <c r="O42" i="22"/>
  <c r="S29" i="22"/>
  <c r="R29" i="22"/>
  <c r="N29" i="22"/>
  <c r="S50" i="22"/>
  <c r="Q67" i="22"/>
  <c r="Y67" i="22" s="1"/>
  <c r="P40" i="22"/>
  <c r="Q40" i="22"/>
  <c r="N43" i="22"/>
  <c r="V43" i="22" s="1"/>
  <c r="N40" i="22"/>
  <c r="V40" i="22" s="1"/>
  <c r="Q14" i="22"/>
  <c r="P14" i="22"/>
  <c r="Y14" i="22" s="1"/>
  <c r="O33" i="22"/>
  <c r="N33" i="22"/>
  <c r="V33" i="22" s="1"/>
  <c r="O7" i="22"/>
  <c r="N7" i="22"/>
  <c r="N44" i="22"/>
  <c r="V44" i="22" s="1"/>
  <c r="N59" i="22"/>
  <c r="V59" i="22" s="1"/>
  <c r="P18" i="22"/>
  <c r="Y18" i="22" s="1"/>
  <c r="N20" i="22"/>
  <c r="V20" i="22" s="1"/>
  <c r="P33" i="22"/>
  <c r="Y33" i="22" s="1"/>
  <c r="N35" i="22"/>
  <c r="V35" i="22" s="1"/>
  <c r="P68" i="22"/>
  <c r="Y68" i="22" s="1"/>
  <c r="N70" i="22"/>
  <c r="V70" i="22" s="1"/>
  <c r="P9" i="22"/>
  <c r="Y9" i="22" s="1"/>
  <c r="R42" i="22"/>
  <c r="P44" i="22"/>
  <c r="Y44" i="22" s="1"/>
  <c r="R57" i="22"/>
  <c r="P59" i="22"/>
  <c r="Y59" i="22" s="1"/>
  <c r="R18" i="22"/>
  <c r="R33" i="22"/>
  <c r="R68" i="22"/>
  <c r="AT71" i="21"/>
  <c r="J1" i="21"/>
  <c r="F6" i="21"/>
  <c r="D9" i="21"/>
  <c r="F12" i="21"/>
  <c r="J18" i="21"/>
  <c r="AN21" i="21"/>
  <c r="J35" i="21"/>
  <c r="AN51" i="21"/>
  <c r="R55" i="21"/>
  <c r="AN58" i="21"/>
  <c r="AB62" i="21"/>
  <c r="D71" i="21"/>
  <c r="F74" i="21"/>
  <c r="V29" i="21"/>
  <c r="AH18" i="21"/>
  <c r="AH14" i="21"/>
  <c r="AF2" i="21"/>
  <c r="AD47" i="21"/>
  <c r="AD72" i="21"/>
  <c r="AF65" i="21"/>
  <c r="AF57" i="21"/>
  <c r="AR23" i="21"/>
  <c r="AT19" i="21"/>
  <c r="AR16" i="21"/>
  <c r="AD13" i="21"/>
  <c r="AP9" i="21"/>
  <c r="AP5" i="21"/>
  <c r="AT47" i="21"/>
  <c r="AP37" i="21"/>
  <c r="AR29" i="21"/>
  <c r="AR72" i="21"/>
  <c r="AT65" i="21"/>
  <c r="AR54" i="21"/>
  <c r="F23" i="21"/>
  <c r="AP28" i="21"/>
  <c r="AB12" i="21"/>
  <c r="D19" i="21"/>
  <c r="T28" i="21"/>
  <c r="AB52" i="21"/>
  <c r="P56" i="21"/>
  <c r="T71" i="21"/>
  <c r="V3" i="21"/>
  <c r="AF21" i="21"/>
  <c r="AF13" i="21"/>
  <c r="V5" i="21"/>
  <c r="AD56" i="21"/>
  <c r="AD52" i="21"/>
  <c r="AP22" i="21"/>
  <c r="AT18" i="21"/>
  <c r="AP12" i="21"/>
  <c r="AR26" i="21"/>
  <c r="AT39" i="21"/>
  <c r="D32" i="21"/>
  <c r="AR71" i="21"/>
  <c r="AR64" i="21"/>
  <c r="AR53" i="21"/>
  <c r="AN9" i="21"/>
  <c r="AN12" i="21"/>
  <c r="F19" i="21"/>
  <c r="R23" i="21"/>
  <c r="AN52" i="21"/>
  <c r="R56" i="21"/>
  <c r="D60" i="21"/>
  <c r="D68" i="21"/>
  <c r="AB71" i="21"/>
  <c r="AN16" i="21"/>
  <c r="H9" i="21"/>
  <c r="AD21" i="21"/>
  <c r="AF9" i="21"/>
  <c r="AD5" i="21"/>
  <c r="AF38" i="21"/>
  <c r="AF30" i="21"/>
  <c r="AD51" i="21"/>
  <c r="AD60" i="21"/>
  <c r="AB22" i="21"/>
  <c r="AR18" i="21"/>
  <c r="P15" i="21"/>
  <c r="AP26" i="21"/>
  <c r="AP64" i="21"/>
  <c r="AN53" i="21"/>
  <c r="AP72" i="21"/>
  <c r="AF53" i="21"/>
  <c r="AR27" i="21"/>
  <c r="AF18" i="21"/>
  <c r="AN27" i="21"/>
  <c r="AP68" i="21"/>
  <c r="R12" i="21"/>
  <c r="AN18" i="21"/>
  <c r="R52" i="21"/>
  <c r="R71" i="21"/>
  <c r="T59" i="21"/>
  <c r="AD26" i="21"/>
  <c r="AT53" i="21"/>
  <c r="AF1" i="21"/>
  <c r="J36" i="21"/>
  <c r="D10" i="21"/>
  <c r="D14" i="21"/>
  <c r="P19" i="21"/>
  <c r="T23" i="21"/>
  <c r="T36" i="21"/>
  <c r="H53" i="21"/>
  <c r="F60" i="21"/>
  <c r="F68" i="21"/>
  <c r="AN71" i="21"/>
  <c r="V39" i="21"/>
  <c r="V63" i="21"/>
  <c r="V57" i="21"/>
  <c r="AF67" i="21"/>
  <c r="AP18" i="21"/>
  <c r="AT42" i="21"/>
  <c r="AR39" i="21"/>
  <c r="AR67" i="21"/>
  <c r="AR60" i="21"/>
  <c r="AR56" i="21"/>
  <c r="AR1" i="21"/>
  <c r="H4" i="21"/>
  <c r="F10" i="21"/>
  <c r="F14" i="21"/>
  <c r="AB23" i="21"/>
  <c r="H37" i="21"/>
  <c r="J53" i="21"/>
  <c r="AN56" i="21"/>
  <c r="P60" i="21"/>
  <c r="D72" i="21"/>
  <c r="V2" i="21"/>
  <c r="V45" i="21"/>
  <c r="V51" i="21"/>
  <c r="AF45" i="21"/>
  <c r="AN38" i="21"/>
  <c r="AH63" i="21"/>
  <c r="AT11" i="21"/>
  <c r="AR7" i="21"/>
  <c r="AB46" i="21"/>
  <c r="AR35" i="21"/>
  <c r="AR31" i="21"/>
  <c r="AR74" i="21"/>
  <c r="AP60" i="21"/>
  <c r="AD2" i="21"/>
  <c r="AH35" i="21"/>
  <c r="AD43" i="21"/>
  <c r="V1" i="21"/>
  <c r="P59" i="21"/>
  <c r="AP47" i="21"/>
  <c r="AR28" i="21"/>
  <c r="V46" i="21"/>
  <c r="AT22" i="21"/>
  <c r="H10" i="21"/>
  <c r="AB19" i="21"/>
  <c r="R47" i="21"/>
  <c r="H57" i="21"/>
  <c r="R60" i="21"/>
  <c r="P68" i="21"/>
  <c r="F72" i="21"/>
  <c r="AH12" i="21"/>
  <c r="AH4" i="21"/>
  <c r="H49" i="21"/>
  <c r="AF59" i="21"/>
  <c r="AR21" i="21"/>
  <c r="AT14" i="21"/>
  <c r="AR11" i="21"/>
  <c r="AP7" i="21"/>
  <c r="AR3" i="21"/>
  <c r="AR42" i="21"/>
  <c r="AN39" i="21"/>
  <c r="AP35" i="21"/>
  <c r="D2" i="21"/>
  <c r="J14" i="21"/>
  <c r="D26" i="21"/>
  <c r="J30" i="21"/>
  <c r="T39" i="21"/>
  <c r="AB47" i="21"/>
  <c r="J57" i="21"/>
  <c r="AB60" i="21"/>
  <c r="P72" i="21"/>
  <c r="AH16" i="21"/>
  <c r="AF4" i="21"/>
  <c r="F45" i="21"/>
  <c r="AF29" i="21"/>
  <c r="AF70" i="21"/>
  <c r="AD59" i="21"/>
  <c r="AP11" i="21"/>
  <c r="AR49" i="21"/>
  <c r="AP42" i="21"/>
  <c r="AT70" i="21"/>
  <c r="AP63" i="21"/>
  <c r="AP52" i="21"/>
  <c r="AT61" i="21"/>
  <c r="AF61" i="21"/>
  <c r="T61" i="21"/>
  <c r="AP65" i="21"/>
  <c r="J28" i="21"/>
  <c r="AR4" i="21"/>
  <c r="AP57" i="21"/>
  <c r="T12" i="21"/>
  <c r="AF52" i="21"/>
  <c r="AP31" i="21"/>
  <c r="F2" i="21"/>
  <c r="D5" i="21"/>
  <c r="D8" i="21"/>
  <c r="P10" i="21"/>
  <c r="P14" i="21"/>
  <c r="F26" i="21"/>
  <c r="T30" i="21"/>
  <c r="D43" i="21"/>
  <c r="D48" i="21"/>
  <c r="H54" i="21"/>
  <c r="T57" i="21"/>
  <c r="V19" i="21"/>
  <c r="T13" i="21"/>
  <c r="V44" i="21"/>
  <c r="T38" i="21"/>
  <c r="AF16" i="21"/>
  <c r="AP49" i="21"/>
  <c r="AR70" i="21"/>
  <c r="AT59" i="21"/>
  <c r="F52" i="21"/>
  <c r="AD14" i="21"/>
  <c r="AR68" i="21"/>
  <c r="AD31" i="21"/>
  <c r="AP61" i="21"/>
  <c r="AP43" i="21"/>
  <c r="V27" i="21"/>
  <c r="AT1" i="21"/>
  <c r="H14" i="21"/>
  <c r="AN23" i="21"/>
  <c r="H30" i="21"/>
  <c r="T53" i="21"/>
  <c r="AF74" i="21"/>
  <c r="H2" i="21"/>
  <c r="F5" i="21"/>
  <c r="F8" i="21"/>
  <c r="R14" i="21"/>
  <c r="H26" i="21"/>
  <c r="D31" i="21"/>
  <c r="F43" i="21"/>
  <c r="J54" i="21"/>
  <c r="D58" i="21"/>
  <c r="D62" i="21"/>
  <c r="AN68" i="21"/>
  <c r="V7" i="21"/>
  <c r="AD16" i="21"/>
  <c r="AD8" i="21"/>
  <c r="AF37" i="21"/>
  <c r="AF33" i="21"/>
  <c r="D29" i="21"/>
  <c r="R70" i="21"/>
  <c r="AH66" i="21"/>
  <c r="AR17" i="21"/>
  <c r="AP14" i="21"/>
  <c r="AR38" i="21"/>
  <c r="AT66" i="21"/>
  <c r="AR59" i="21"/>
  <c r="AT55" i="21"/>
  <c r="H8" i="21"/>
  <c r="AB10" i="21"/>
  <c r="T14" i="21"/>
  <c r="J26" i="21"/>
  <c r="P43" i="21"/>
  <c r="D51" i="21"/>
  <c r="F58" i="21"/>
  <c r="F62" i="21"/>
  <c r="P67" i="21"/>
  <c r="V55" i="21"/>
  <c r="AH58" i="21"/>
  <c r="AT6" i="21"/>
  <c r="AP38" i="21"/>
  <c r="AR34" i="21"/>
  <c r="AR30" i="21"/>
  <c r="AT62" i="21"/>
  <c r="AP59" i="21"/>
  <c r="T27" i="21"/>
  <c r="AR63" i="21"/>
  <c r="P2" i="21"/>
  <c r="P5" i="21"/>
  <c r="AB14" i="21"/>
  <c r="D21" i="21"/>
  <c r="P26" i="21"/>
  <c r="F32" i="21"/>
  <c r="H51" i="21"/>
  <c r="D55" i="21"/>
  <c r="H62" i="21"/>
  <c r="H73" i="21"/>
  <c r="R66" i="21"/>
  <c r="V18" i="21"/>
  <c r="V37" i="21"/>
  <c r="V61" i="21"/>
  <c r="AF3" i="21"/>
  <c r="AF44" i="21"/>
  <c r="AF73" i="21"/>
  <c r="AF58" i="21"/>
  <c r="AF54" i="21"/>
  <c r="AR24" i="21"/>
  <c r="AR20" i="21"/>
  <c r="AR10" i="21"/>
  <c r="AR2" i="21"/>
  <c r="AT48" i="21"/>
  <c r="AP45" i="21"/>
  <c r="AR73" i="21"/>
  <c r="R59" i="21"/>
  <c r="H36" i="21"/>
  <c r="P58" i="21"/>
  <c r="AD58" i="21"/>
  <c r="AP10" i="21"/>
  <c r="AF41" i="21"/>
  <c r="D73" i="21"/>
  <c r="AP66" i="21"/>
  <c r="AR62" i="21"/>
  <c r="AR51" i="21"/>
  <c r="AR40" i="21"/>
  <c r="AB18" i="21"/>
  <c r="AT32" i="21"/>
  <c r="R28" i="21"/>
  <c r="AB59" i="21"/>
  <c r="R2" i="21"/>
  <c r="R5" i="21"/>
  <c r="P8" i="21"/>
  <c r="F21" i="21"/>
  <c r="P32" i="21"/>
  <c r="AB43" i="21"/>
  <c r="J51" i="21"/>
  <c r="F55" i="21"/>
  <c r="J62" i="21"/>
  <c r="AF23" i="21"/>
  <c r="AD44" i="21"/>
  <c r="AF40" i="21"/>
  <c r="AH62" i="21"/>
  <c r="AT13" i="21"/>
  <c r="AB6" i="21"/>
  <c r="AP2" i="21"/>
  <c r="R8" i="21"/>
  <c r="D18" i="21"/>
  <c r="P21" i="21"/>
  <c r="D35" i="21"/>
  <c r="AN43" i="21"/>
  <c r="P51" i="21"/>
  <c r="H55" i="21"/>
  <c r="R58" i="21"/>
  <c r="P62" i="21"/>
  <c r="T70" i="21"/>
  <c r="T73" i="21"/>
  <c r="J39" i="21"/>
  <c r="R64" i="21"/>
  <c r="AF11" i="21"/>
  <c r="AF7" i="21"/>
  <c r="AF28" i="21"/>
  <c r="AF69" i="21"/>
  <c r="AF62" i="21"/>
  <c r="AN24" i="21"/>
  <c r="AD20" i="21"/>
  <c r="F48" i="21"/>
  <c r="AT37" i="21"/>
  <c r="AR58" i="21"/>
  <c r="AB2" i="21"/>
  <c r="AB8" i="21"/>
  <c r="R21" i="21"/>
  <c r="D44" i="21"/>
  <c r="J55" i="21"/>
  <c r="AB70" i="21"/>
  <c r="F51" i="21"/>
  <c r="R1" i="21"/>
  <c r="V23" i="21"/>
  <c r="V36" i="21"/>
  <c r="AD36" i="21"/>
  <c r="AD28" i="21"/>
  <c r="AD62" i="21"/>
  <c r="AR44" i="21"/>
  <c r="AR69" i="21"/>
  <c r="F44" i="21"/>
  <c r="AH47" i="21"/>
  <c r="AH72" i="21"/>
  <c r="AR5" i="21"/>
  <c r="AR33" i="21"/>
  <c r="AN69" i="21"/>
  <c r="AT54" i="21"/>
  <c r="AD69" i="21"/>
  <c r="D57" i="21"/>
  <c r="F73" i="21"/>
  <c r="AH74" i="21"/>
  <c r="AT63" i="21"/>
  <c r="T52" i="21"/>
  <c r="F57" i="21"/>
  <c r="T68" i="21"/>
  <c r="V64" i="21"/>
  <c r="AH68" i="21"/>
  <c r="AF68" i="21"/>
  <c r="P73" i="21"/>
  <c r="V68" i="21"/>
  <c r="AD53" i="21"/>
  <c r="AT74" i="21"/>
  <c r="AT58" i="21"/>
  <c r="D53" i="21"/>
  <c r="P57" i="21"/>
  <c r="D69" i="21"/>
  <c r="R73" i="21"/>
  <c r="F53" i="21"/>
  <c r="R57" i="21"/>
  <c r="F69" i="21"/>
  <c r="AT60" i="21"/>
  <c r="AB57" i="21"/>
  <c r="AN73" i="21"/>
  <c r="T64" i="21"/>
  <c r="AD73" i="21"/>
  <c r="P53" i="21"/>
  <c r="AN57" i="21"/>
  <c r="P69" i="21"/>
  <c r="R53" i="21"/>
  <c r="R69" i="21"/>
  <c r="V52" i="21"/>
  <c r="AH64" i="21"/>
  <c r="AP69" i="21"/>
  <c r="AT64" i="21"/>
  <c r="AP53" i="21"/>
  <c r="AB53" i="21"/>
  <c r="AB69" i="21"/>
  <c r="T60" i="21"/>
  <c r="H52" i="21"/>
  <c r="H68" i="21"/>
  <c r="AP73" i="21"/>
  <c r="AT68" i="21"/>
  <c r="AT52" i="21"/>
  <c r="R65" i="21"/>
  <c r="V60" i="21"/>
  <c r="H32" i="21"/>
  <c r="V41" i="21"/>
  <c r="AF48" i="21"/>
  <c r="T32" i="21"/>
  <c r="J48" i="21"/>
  <c r="AD48" i="21"/>
  <c r="AF36" i="21"/>
  <c r="AD30" i="21"/>
  <c r="AT38" i="21"/>
  <c r="AR41" i="21"/>
  <c r="AB32" i="21"/>
  <c r="P48" i="21"/>
  <c r="AT31" i="21"/>
  <c r="AN32" i="21"/>
  <c r="R48" i="21"/>
  <c r="AD39" i="21"/>
  <c r="H41" i="21"/>
  <c r="T48" i="21"/>
  <c r="V34" i="21"/>
  <c r="AT49" i="21"/>
  <c r="AT33" i="21"/>
  <c r="AB48" i="21"/>
  <c r="T34" i="21"/>
  <c r="AN48" i="21"/>
  <c r="AH41" i="21"/>
  <c r="AF32" i="21"/>
  <c r="AT35" i="21"/>
  <c r="AR48" i="21"/>
  <c r="J32" i="21"/>
  <c r="AD37" i="21"/>
  <c r="J41" i="21"/>
  <c r="AH48" i="21"/>
  <c r="R32" i="21"/>
  <c r="H48" i="21"/>
  <c r="H43" i="21"/>
  <c r="AB41" i="21"/>
  <c r="V48" i="21"/>
  <c r="V43" i="21"/>
  <c r="AD32" i="21"/>
  <c r="AT44" i="21"/>
  <c r="AT28" i="21"/>
  <c r="J43" i="21"/>
  <c r="AD41" i="21"/>
  <c r="AR32" i="21"/>
  <c r="AB39" i="21"/>
  <c r="AT46" i="21"/>
  <c r="AT30" i="21"/>
  <c r="R46" i="21"/>
  <c r="AH43" i="21"/>
  <c r="AR43" i="21"/>
  <c r="V32" i="21"/>
  <c r="AD46" i="21"/>
  <c r="AF34" i="21"/>
  <c r="AT26" i="21"/>
  <c r="D27" i="21"/>
  <c r="F27" i="21"/>
  <c r="P27" i="21"/>
  <c r="AD27" i="21"/>
  <c r="R27" i="21"/>
  <c r="AB27" i="21"/>
  <c r="AN6" i="21"/>
  <c r="T10" i="21"/>
  <c r="AH15" i="21"/>
  <c r="AD24" i="21"/>
  <c r="AF15" i="21"/>
  <c r="AT21" i="21"/>
  <c r="AR19" i="21"/>
  <c r="AT5" i="21"/>
  <c r="AD15" i="21"/>
  <c r="AH6" i="21"/>
  <c r="AH24" i="21"/>
  <c r="F11" i="21"/>
  <c r="AD6" i="21"/>
  <c r="AT23" i="21"/>
  <c r="AT7" i="21"/>
  <c r="D24" i="21"/>
  <c r="V17" i="21"/>
  <c r="V8" i="21"/>
  <c r="AF20" i="21"/>
  <c r="AH17" i="21"/>
  <c r="AT9" i="21"/>
  <c r="H19" i="21"/>
  <c r="D22" i="21"/>
  <c r="F24" i="21"/>
  <c r="T17" i="21"/>
  <c r="AF17" i="21"/>
  <c r="AT2" i="21"/>
  <c r="J19" i="21"/>
  <c r="F22" i="21"/>
  <c r="P24" i="21"/>
  <c r="AH8" i="21"/>
  <c r="AR22" i="21"/>
  <c r="P22" i="21"/>
  <c r="R24" i="21"/>
  <c r="AT20" i="21"/>
  <c r="AT4" i="21"/>
  <c r="AR6" i="21"/>
  <c r="F15" i="21"/>
  <c r="R22" i="21"/>
  <c r="AB24" i="21"/>
  <c r="AD11" i="21"/>
  <c r="D15" i="21"/>
  <c r="AH22" i="21"/>
  <c r="AF19" i="21"/>
  <c r="F54" i="21"/>
  <c r="AF56" i="21"/>
  <c r="H72" i="21"/>
  <c r="AH60" i="21"/>
  <c r="J72" i="21"/>
  <c r="V56" i="21"/>
  <c r="P54" i="21"/>
  <c r="V65" i="21"/>
  <c r="AF60" i="21"/>
  <c r="R54" i="21"/>
  <c r="T74" i="21"/>
  <c r="AH55" i="21"/>
  <c r="T72" i="21"/>
  <c r="V69" i="21"/>
  <c r="AB54" i="21"/>
  <c r="AH73" i="21"/>
  <c r="AH57" i="21"/>
  <c r="AN54" i="21"/>
  <c r="D61" i="21"/>
  <c r="H56" i="21"/>
  <c r="F61" i="21"/>
  <c r="AH59" i="21"/>
  <c r="AF72" i="21"/>
  <c r="J56" i="21"/>
  <c r="P61" i="21"/>
  <c r="D70" i="21"/>
  <c r="AH52" i="21"/>
  <c r="R61" i="21"/>
  <c r="F70" i="21"/>
  <c r="V72" i="21"/>
  <c r="V54" i="21"/>
  <c r="AB61" i="21"/>
  <c r="P70" i="21"/>
  <c r="AH70" i="21"/>
  <c r="AH54" i="21"/>
  <c r="T56" i="21"/>
  <c r="AN61" i="21"/>
  <c r="P31" i="21"/>
  <c r="AN45" i="21"/>
  <c r="T49" i="21"/>
  <c r="V31" i="21"/>
  <c r="AF35" i="21"/>
  <c r="T47" i="21"/>
  <c r="V47" i="21"/>
  <c r="H31" i="21"/>
  <c r="P29" i="21"/>
  <c r="R31" i="21"/>
  <c r="T35" i="21"/>
  <c r="AH46" i="21"/>
  <c r="AH30" i="21"/>
  <c r="F29" i="21"/>
  <c r="J49" i="21"/>
  <c r="R29" i="21"/>
  <c r="T31" i="21"/>
  <c r="AB31" i="21"/>
  <c r="V40" i="21"/>
  <c r="V35" i="21"/>
  <c r="AH32" i="21"/>
  <c r="P45" i="21"/>
  <c r="R45" i="21"/>
  <c r="AN47" i="21"/>
  <c r="J31" i="21"/>
  <c r="AN36" i="21"/>
  <c r="AB45" i="21"/>
  <c r="AB29" i="21"/>
  <c r="AN31" i="21"/>
  <c r="H33" i="21"/>
  <c r="AN29" i="21"/>
  <c r="J33" i="21"/>
  <c r="D38" i="21"/>
  <c r="AH34" i="21"/>
  <c r="AF49" i="21"/>
  <c r="T33" i="21"/>
  <c r="F38" i="21"/>
  <c r="D47" i="21"/>
  <c r="V49" i="21"/>
  <c r="AH27" i="21"/>
  <c r="D36" i="21"/>
  <c r="P38" i="21"/>
  <c r="F47" i="21"/>
  <c r="AH36" i="21"/>
  <c r="AF47" i="21"/>
  <c r="F36" i="21"/>
  <c r="R38" i="21"/>
  <c r="D45" i="21"/>
  <c r="H47" i="21"/>
  <c r="AB40" i="21"/>
  <c r="AH29" i="21"/>
  <c r="AB38" i="21"/>
  <c r="J47" i="21"/>
  <c r="R36" i="21"/>
  <c r="AF31" i="21"/>
  <c r="AB36" i="21"/>
  <c r="V33" i="21"/>
  <c r="V26" i="21"/>
  <c r="AH26" i="21"/>
  <c r="AF26" i="21"/>
  <c r="AF22" i="21"/>
  <c r="F4" i="21"/>
  <c r="P11" i="21"/>
  <c r="H24" i="21"/>
  <c r="AF24" i="21"/>
  <c r="AF8" i="21"/>
  <c r="T8" i="21"/>
  <c r="R11" i="21"/>
  <c r="J24" i="21"/>
  <c r="AH19" i="21"/>
  <c r="AH3" i="21"/>
  <c r="V24" i="21"/>
  <c r="D4" i="21"/>
  <c r="P4" i="21"/>
  <c r="AB11" i="21"/>
  <c r="D20" i="21"/>
  <c r="V11" i="21"/>
  <c r="AH21" i="21"/>
  <c r="AH5" i="21"/>
  <c r="R4" i="21"/>
  <c r="AN11" i="21"/>
  <c r="D13" i="21"/>
  <c r="F20" i="21"/>
  <c r="T24" i="21"/>
  <c r="V15" i="21"/>
  <c r="H6" i="21"/>
  <c r="F13" i="21"/>
  <c r="V6" i="21"/>
  <c r="AF5" i="21"/>
  <c r="AB4" i="21"/>
  <c r="J6" i="21"/>
  <c r="P13" i="21"/>
  <c r="AF14" i="21"/>
  <c r="AN4" i="21"/>
  <c r="R13" i="21"/>
  <c r="P20" i="21"/>
  <c r="AH9" i="21"/>
  <c r="AB13" i="21"/>
  <c r="R20" i="21"/>
  <c r="H22" i="21"/>
  <c r="AH2" i="21"/>
  <c r="T6" i="21"/>
  <c r="AN13" i="21"/>
  <c r="J22" i="21"/>
  <c r="V22" i="21"/>
  <c r="AH11" i="21"/>
  <c r="AB20" i="21"/>
  <c r="AF6" i="21"/>
  <c r="AN20" i="21"/>
  <c r="V13" i="21"/>
  <c r="D11" i="21"/>
  <c r="T22" i="21"/>
  <c r="H58" i="21"/>
  <c r="V74" i="21"/>
  <c r="V70" i="21"/>
  <c r="V62" i="21"/>
  <c r="V58" i="21"/>
  <c r="H70" i="21"/>
  <c r="T66" i="21"/>
  <c r="H38" i="21"/>
  <c r="H46" i="21"/>
  <c r="J38" i="21"/>
  <c r="J46" i="21"/>
  <c r="T46" i="21"/>
  <c r="H34" i="21"/>
  <c r="J34" i="21"/>
  <c r="T5" i="21"/>
  <c r="J5" i="21"/>
  <c r="J17" i="21"/>
  <c r="H13" i="21"/>
  <c r="H21" i="21"/>
  <c r="J13" i="21"/>
  <c r="J21" i="21"/>
  <c r="F64" i="21"/>
  <c r="D64" i="21"/>
  <c r="P64" i="21"/>
  <c r="D63" i="21"/>
  <c r="F63" i="21"/>
  <c r="AN64" i="21"/>
  <c r="P63" i="21"/>
  <c r="R63" i="21"/>
  <c r="P65" i="21"/>
  <c r="AB63" i="21"/>
  <c r="AB64" i="21"/>
  <c r="AN63" i="21"/>
  <c r="P66" i="21"/>
  <c r="F67" i="21"/>
  <c r="F66" i="21"/>
  <c r="F65" i="21"/>
  <c r="AB51" i="21"/>
  <c r="AN37" i="21"/>
  <c r="AN33" i="21"/>
  <c r="AB34" i="21"/>
  <c r="AN30" i="21"/>
  <c r="D30" i="21"/>
  <c r="D33" i="21"/>
  <c r="D34" i="21"/>
  <c r="D37" i="21"/>
  <c r="D46" i="21"/>
  <c r="D49" i="21"/>
  <c r="F30" i="21"/>
  <c r="F33" i="21"/>
  <c r="F34" i="21"/>
  <c r="F37" i="21"/>
  <c r="F46" i="21"/>
  <c r="F49" i="21"/>
  <c r="AB30" i="21"/>
  <c r="AN34" i="21"/>
  <c r="AB33" i="21"/>
  <c r="AN49" i="21"/>
  <c r="P30" i="21"/>
  <c r="P33" i="21"/>
  <c r="P34" i="21"/>
  <c r="P37" i="21"/>
  <c r="P46" i="21"/>
  <c r="P49" i="21"/>
  <c r="R30" i="21"/>
  <c r="R33" i="21"/>
  <c r="R34" i="21"/>
  <c r="R37" i="21"/>
  <c r="R49" i="21"/>
  <c r="AB37" i="21"/>
  <c r="AN46" i="21"/>
  <c r="AN28" i="21"/>
  <c r="D28" i="21"/>
  <c r="F28" i="21"/>
  <c r="P28" i="21"/>
  <c r="AN15" i="21"/>
  <c r="AB15" i="21"/>
  <c r="D17" i="21"/>
  <c r="F16" i="21"/>
  <c r="D16" i="21"/>
  <c r="H65" i="21"/>
  <c r="J65" i="21"/>
  <c r="H59" i="21"/>
  <c r="H60" i="21"/>
  <c r="H61" i="21"/>
  <c r="H63" i="21"/>
  <c r="H64" i="21"/>
  <c r="J59" i="21"/>
  <c r="J60" i="21"/>
  <c r="J61" i="21"/>
  <c r="J63" i="21"/>
  <c r="J64" i="21"/>
  <c r="T65" i="21"/>
  <c r="H40" i="21"/>
  <c r="J40" i="21"/>
  <c r="T40" i="21"/>
  <c r="H42" i="21"/>
  <c r="J42" i="21"/>
  <c r="T37" i="21"/>
  <c r="T42" i="21"/>
  <c r="T41" i="21"/>
  <c r="H39" i="21"/>
  <c r="H16" i="21"/>
  <c r="J16" i="21"/>
  <c r="T16" i="21"/>
  <c r="H15" i="21"/>
  <c r="J15" i="21"/>
  <c r="T15" i="21"/>
  <c r="H17" i="21"/>
  <c r="AB65" i="21"/>
  <c r="AB66" i="21"/>
  <c r="AB67" i="21"/>
  <c r="R67" i="21"/>
  <c r="AN65" i="21"/>
  <c r="AN66" i="21"/>
  <c r="AN67" i="21"/>
  <c r="D65" i="21"/>
  <c r="D66" i="21"/>
  <c r="D67" i="21"/>
  <c r="AN42" i="21"/>
  <c r="D39" i="21"/>
  <c r="D40" i="21"/>
  <c r="D41" i="21"/>
  <c r="D42" i="21"/>
  <c r="AN41" i="21"/>
  <c r="F39" i="21"/>
  <c r="F40" i="21"/>
  <c r="F41" i="21"/>
  <c r="F42" i="21"/>
  <c r="P39" i="21"/>
  <c r="P40" i="21"/>
  <c r="P41" i="21"/>
  <c r="P42" i="21"/>
  <c r="AN40" i="21"/>
  <c r="R39" i="21"/>
  <c r="R40" i="21"/>
  <c r="R41" i="21"/>
  <c r="R42" i="21"/>
  <c r="P16" i="21"/>
  <c r="P17" i="21"/>
  <c r="R15" i="21"/>
  <c r="R16" i="21"/>
  <c r="R17" i="21"/>
  <c r="AB16" i="21"/>
  <c r="AB17" i="21"/>
  <c r="AN17" i="21"/>
  <c r="AP1" i="21"/>
  <c r="D1" i="21"/>
  <c r="A6" i="19"/>
  <c r="AQ10" i="19"/>
  <c r="AY9" i="19"/>
  <c r="AS10" i="19"/>
  <c r="AY20" i="19" a="1"/>
  <c r="AY20" i="19" s="1"/>
  <c r="BA20" i="19" a="1"/>
  <c r="BA20" i="19" s="1"/>
  <c r="BA15" i="19" a="1"/>
  <c r="BA15" i="19" s="1"/>
  <c r="AS8" i="19"/>
  <c r="AW8" i="19"/>
  <c r="AO13" i="19" a="1"/>
  <c r="AO13" i="19" s="1"/>
  <c r="AY8" i="19"/>
  <c r="AQ13" i="19" a="1"/>
  <c r="AQ13" i="19" s="1"/>
  <c r="AO9" i="19"/>
  <c r="AQ9" i="19"/>
  <c r="AQ18" i="19" a="1"/>
  <c r="AQ18" i="19" s="1"/>
  <c r="A56" i="19"/>
  <c r="AW18" i="19" a="1"/>
  <c r="AW18" i="19" s="1"/>
  <c r="AW20" i="19" a="1"/>
  <c r="AW20" i="19" s="1"/>
  <c r="AW15" i="19" a="1"/>
  <c r="AW15" i="19" s="1"/>
  <c r="AY15" i="19" a="1"/>
  <c r="AY15" i="19" s="1"/>
  <c r="AY10" i="19"/>
  <c r="BA10" i="19"/>
  <c r="AW9" i="19"/>
  <c r="P3" i="10"/>
  <c r="N77" i="14"/>
  <c r="U88" i="14" s="1"/>
  <c r="N78" i="14"/>
  <c r="U89" i="14" s="1"/>
  <c r="N79" i="14"/>
  <c r="L79" i="14"/>
  <c r="AD7" i="10"/>
  <c r="AD3" i="10"/>
  <c r="R9" i="10"/>
  <c r="P21" i="10"/>
  <c r="X8" i="10"/>
  <c r="Q21" i="10"/>
  <c r="X12" i="10"/>
  <c r="X4" i="10"/>
  <c r="AE10" i="10"/>
  <c r="X11" i="10"/>
  <c r="P26" i="10"/>
  <c r="P10" i="10"/>
  <c r="W12" i="10"/>
  <c r="AD10" i="10"/>
  <c r="P24" i="10"/>
  <c r="AD11" i="10"/>
  <c r="W8" i="10"/>
  <c r="Z11" i="10"/>
  <c r="AG10" i="10"/>
  <c r="S27" i="10"/>
  <c r="AC11" i="10"/>
  <c r="R5" i="10"/>
  <c r="Y11" i="10"/>
  <c r="R27" i="10"/>
  <c r="R24" i="10"/>
  <c r="J77" i="14"/>
  <c r="J78" i="14"/>
  <c r="K77" i="14"/>
  <c r="K78" i="14"/>
  <c r="K79" i="14"/>
  <c r="O77" i="14"/>
  <c r="O78" i="14"/>
  <c r="O79" i="14"/>
  <c r="P77" i="14"/>
  <c r="P78" i="14"/>
  <c r="P79" i="14"/>
  <c r="J79" i="14"/>
  <c r="L78" i="14"/>
  <c r="L77" i="14"/>
  <c r="J76" i="14"/>
  <c r="K76" i="14"/>
  <c r="L76" i="14"/>
  <c r="N76" i="14"/>
  <c r="O76" i="14"/>
  <c r="P76" i="14"/>
  <c r="V9" i="10"/>
  <c r="V5" i="10"/>
  <c r="V10" i="10"/>
  <c r="V6" i="10"/>
  <c r="S24" i="10"/>
  <c r="O26" i="10"/>
  <c r="O10" i="10"/>
  <c r="O6" i="10"/>
  <c r="O21" i="10"/>
  <c r="O24" i="10"/>
  <c r="O9" i="10"/>
  <c r="O5" i="10"/>
  <c r="O27" i="10"/>
  <c r="O19" i="10"/>
  <c r="O22" i="10"/>
  <c r="O12" i="10"/>
  <c r="O8" i="10"/>
  <c r="O4" i="10"/>
  <c r="O25" i="10"/>
  <c r="O28" i="10"/>
  <c r="O20" i="10"/>
  <c r="O11" i="10"/>
  <c r="O7" i="10"/>
  <c r="O23" i="10"/>
  <c r="R21" i="10"/>
  <c r="R20" i="10"/>
  <c r="R11" i="10"/>
  <c r="R7" i="10"/>
  <c r="R3" i="10"/>
  <c r="R28" i="10"/>
  <c r="V12" i="10"/>
  <c r="W11" i="10"/>
  <c r="W7" i="10"/>
  <c r="W3" i="10"/>
  <c r="P25" i="10"/>
  <c r="X10" i="10"/>
  <c r="X6" i="10"/>
  <c r="Y12" i="10"/>
  <c r="Y8" i="10"/>
  <c r="Y4" i="10"/>
  <c r="Y9" i="10"/>
  <c r="Y5" i="10"/>
  <c r="Z12" i="10"/>
  <c r="Z8" i="10"/>
  <c r="Z4" i="10"/>
  <c r="AF11" i="10"/>
  <c r="AF7" i="10"/>
  <c r="AF3" i="10"/>
  <c r="AF10" i="10"/>
  <c r="AF6" i="10"/>
  <c r="AF9" i="10"/>
  <c r="AF5" i="10"/>
  <c r="AF12" i="10"/>
  <c r="AF8" i="10"/>
  <c r="AF4" i="10"/>
  <c r="AG9" i="10"/>
  <c r="AG5" i="10"/>
  <c r="AC10" i="10"/>
  <c r="AC6" i="10"/>
  <c r="AD5" i="10"/>
  <c r="AD9" i="10"/>
  <c r="AE11" i="10"/>
  <c r="AE7" i="10"/>
  <c r="AE3" i="10"/>
  <c r="AE12" i="10"/>
  <c r="AE8" i="10"/>
  <c r="AE4" i="10"/>
  <c r="AG3" i="10"/>
  <c r="AC4" i="10"/>
  <c r="W5" i="10"/>
  <c r="Q6" i="10"/>
  <c r="AG7" i="10"/>
  <c r="AC8" i="10"/>
  <c r="W9" i="10"/>
  <c r="Q10" i="10"/>
  <c r="AG11" i="10"/>
  <c r="AC12" i="10"/>
  <c r="S21" i="10"/>
  <c r="Q26" i="10"/>
  <c r="AD4" i="10"/>
  <c r="X5" i="10"/>
  <c r="R6" i="10"/>
  <c r="AD8" i="10"/>
  <c r="X9" i="10"/>
  <c r="R10" i="10"/>
  <c r="AD12" i="10"/>
  <c r="P23" i="10"/>
  <c r="R26" i="10"/>
  <c r="S6" i="10"/>
  <c r="S10" i="10"/>
  <c r="Q23" i="10"/>
  <c r="S26" i="10"/>
  <c r="Z5" i="10"/>
  <c r="P7" i="10"/>
  <c r="Z9" i="10"/>
  <c r="P11" i="10"/>
  <c r="P20" i="10"/>
  <c r="R23" i="10"/>
  <c r="P28" i="10"/>
  <c r="Q3" i="10"/>
  <c r="AG4" i="10"/>
  <c r="AC5" i="10"/>
  <c r="W6" i="10"/>
  <c r="Q7" i="10"/>
  <c r="AG8" i="10"/>
  <c r="AC9" i="10"/>
  <c r="W10" i="10"/>
  <c r="Q11" i="10"/>
  <c r="AG12" i="10"/>
  <c r="Q20" i="10"/>
  <c r="S23" i="10"/>
  <c r="Q28" i="10"/>
  <c r="S3" i="10"/>
  <c r="AE5" i="10"/>
  <c r="Y6" i="10"/>
  <c r="S7" i="10"/>
  <c r="AE9" i="10"/>
  <c r="Y10" i="10"/>
  <c r="S11" i="10"/>
  <c r="S20" i="10"/>
  <c r="Q25" i="10"/>
  <c r="S28" i="10"/>
  <c r="V3" i="10"/>
  <c r="P4" i="10"/>
  <c r="Z6" i="10"/>
  <c r="V7" i="10"/>
  <c r="P8" i="10"/>
  <c r="Z10" i="10"/>
  <c r="V11" i="10"/>
  <c r="P12" i="10"/>
  <c r="P22" i="10"/>
  <c r="R25" i="10"/>
  <c r="Q4" i="10"/>
  <c r="Q8" i="10"/>
  <c r="Q12" i="10"/>
  <c r="Q22" i="10"/>
  <c r="S25" i="10"/>
  <c r="X3" i="10"/>
  <c r="R4" i="10"/>
  <c r="AD6" i="10"/>
  <c r="X7" i="10"/>
  <c r="R8" i="10"/>
  <c r="R12" i="10"/>
  <c r="P19" i="10"/>
  <c r="R22" i="10"/>
  <c r="P27" i="10"/>
  <c r="Y3" i="10"/>
  <c r="S4" i="10"/>
  <c r="AE6" i="10"/>
  <c r="Y7" i="10"/>
  <c r="S8" i="10"/>
  <c r="S12" i="10"/>
  <c r="Q19" i="10"/>
  <c r="S22" i="10"/>
  <c r="Q27" i="10"/>
  <c r="Z3" i="10"/>
  <c r="V4" i="10"/>
  <c r="P5" i="10"/>
  <c r="Z7" i="10"/>
  <c r="P9" i="10"/>
  <c r="R19" i="10"/>
  <c r="AC3" i="10"/>
  <c r="W4" i="10"/>
  <c r="Q5" i="10"/>
  <c r="AG6" i="10"/>
  <c r="AC7" i="10"/>
  <c r="Q9" i="10"/>
  <c r="S19" i="10"/>
  <c r="Q24" i="10"/>
  <c r="S5" i="10"/>
  <c r="S9" i="10"/>
  <c r="P6" i="10"/>
  <c r="V29" i="22" l="1"/>
  <c r="T52" i="22"/>
  <c r="V53" i="22"/>
  <c r="T77" i="22"/>
  <c r="U27" i="22"/>
  <c r="V7" i="22"/>
  <c r="V27" i="22" s="1"/>
  <c r="N80" i="22" s="1"/>
  <c r="Y29" i="22"/>
  <c r="Y40" i="22"/>
  <c r="Y3" i="22"/>
  <c r="Y27" i="22" s="1"/>
  <c r="T80" i="22" s="1"/>
  <c r="W27" i="22"/>
  <c r="R80" i="22" s="1"/>
  <c r="V16" i="22"/>
  <c r="V42" i="22"/>
  <c r="V57" i="22"/>
  <c r="Y55" i="22"/>
  <c r="V31" i="22"/>
  <c r="V18" i="22"/>
  <c r="Y75" i="22"/>
  <c r="T27" i="22"/>
  <c r="Y31" i="22"/>
  <c r="X52" i="22"/>
  <c r="Y53" i="22"/>
  <c r="W77" i="22"/>
  <c r="W52" i="22"/>
  <c r="Y57" i="22"/>
  <c r="S100" i="14"/>
  <c r="S99" i="14"/>
  <c r="W88" i="14"/>
  <c r="U99" i="14"/>
  <c r="W91" i="14"/>
  <c r="K82" i="14"/>
  <c r="U102" i="14" s="1"/>
  <c r="U91" i="14"/>
  <c r="J82" i="14"/>
  <c r="S102" i="14" s="1"/>
  <c r="Y91" i="14"/>
  <c r="L82" i="14"/>
  <c r="W102" i="14" s="1"/>
  <c r="Y90" i="14"/>
  <c r="W101" i="14"/>
  <c r="Y89" i="14"/>
  <c r="W100" i="14"/>
  <c r="Y88" i="14"/>
  <c r="W99" i="14"/>
  <c r="W90" i="14"/>
  <c r="U101" i="14"/>
  <c r="W89" i="14"/>
  <c r="U100" i="14"/>
  <c r="U90" i="14"/>
  <c r="S101" i="14"/>
  <c r="O90" i="14"/>
  <c r="O101" i="14"/>
  <c r="O89" i="14"/>
  <c r="O100" i="14"/>
  <c r="O88" i="14"/>
  <c r="O99" i="14"/>
  <c r="M89" i="14"/>
  <c r="M100" i="14"/>
  <c r="Q91" i="14"/>
  <c r="L81" i="14"/>
  <c r="Q102" i="14" s="1"/>
  <c r="M88" i="14"/>
  <c r="M99" i="14"/>
  <c r="O91" i="14"/>
  <c r="K81" i="14"/>
  <c r="O102" i="14" s="1"/>
  <c r="M91" i="14"/>
  <c r="J81" i="14"/>
  <c r="M102" i="14" s="1"/>
  <c r="Q88" i="14"/>
  <c r="Q99" i="14"/>
  <c r="Q89" i="14"/>
  <c r="Q100" i="14"/>
  <c r="M90" i="14"/>
  <c r="M101" i="14"/>
  <c r="Q90" i="14"/>
  <c r="Q101" i="14"/>
  <c r="P80" i="22" l="1"/>
  <c r="V77" i="22"/>
  <c r="Y77" i="22"/>
  <c r="R82" i="22" s="1"/>
  <c r="V52" i="22"/>
  <c r="L80" i="22"/>
  <c r="Y52" i="22"/>
  <c r="T81" i="22" s="1"/>
  <c r="L82" i="22"/>
  <c r="V80" i="22"/>
  <c r="T83" i="22" l="1"/>
  <c r="N81" i="22"/>
  <c r="P81" i="22"/>
  <c r="V81" i="22"/>
  <c r="V83" i="22" s="1"/>
  <c r="L81" i="22"/>
  <c r="N82" i="22"/>
  <c r="P82" i="22"/>
  <c r="R81" i="22"/>
  <c r="R83" i="22" s="1"/>
  <c r="T82" i="22"/>
  <c r="V82" i="22"/>
  <c r="P83" i="22"/>
  <c r="L83" i="22"/>
  <c r="N83" i="22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<sst xmlns="http://schemas.openxmlformats.org/spreadsheetml/2006/main" count="3476" uniqueCount="145">
  <si>
    <t>SimHGS</t>
  </si>
  <si>
    <t>SBDF100</t>
  </si>
  <si>
    <t>SBDB100</t>
  </si>
  <si>
    <t>Best</t>
  </si>
  <si>
    <t>AvgV</t>
  </si>
  <si>
    <t>AvgT</t>
  </si>
  <si>
    <t>E</t>
  </si>
  <si>
    <t>10x3A</t>
  </si>
  <si>
    <t>10x4A</t>
  </si>
  <si>
    <t>15x3A</t>
  </si>
  <si>
    <t>15x4A</t>
  </si>
  <si>
    <t>20x3A</t>
  </si>
  <si>
    <t>20x4A</t>
  </si>
  <si>
    <t>25x3A</t>
  </si>
  <si>
    <t>25x5A</t>
  </si>
  <si>
    <t>28x3A</t>
  </si>
  <si>
    <t>28x5A</t>
  </si>
  <si>
    <t>30x6A</t>
  </si>
  <si>
    <t>30x8A</t>
  </si>
  <si>
    <t>35x6A</t>
  </si>
  <si>
    <t>35x8A</t>
  </si>
  <si>
    <t>40x6A</t>
  </si>
  <si>
    <t>40x8A</t>
  </si>
  <si>
    <t>50x6A</t>
  </si>
  <si>
    <t>50x8A</t>
  </si>
  <si>
    <t>60x8A</t>
  </si>
  <si>
    <t>60x10A</t>
  </si>
  <si>
    <t>80x8A</t>
  </si>
  <si>
    <t>80x10A</t>
  </si>
  <si>
    <t>100x10A</t>
  </si>
  <si>
    <t>100x15A</t>
  </si>
  <si>
    <t>10x3B</t>
  </si>
  <si>
    <t>10x4B</t>
  </si>
  <si>
    <t>15x3B</t>
  </si>
  <si>
    <t>15x4B</t>
  </si>
  <si>
    <t>20x3B</t>
  </si>
  <si>
    <t>20x4B</t>
  </si>
  <si>
    <t>25x3B</t>
  </si>
  <si>
    <t>25x5B</t>
  </si>
  <si>
    <t>28x3B</t>
  </si>
  <si>
    <t>28x5B</t>
  </si>
  <si>
    <t>30x6B</t>
  </si>
  <si>
    <t>30x8B</t>
  </si>
  <si>
    <t>35x6B</t>
  </si>
  <si>
    <t>35x8B</t>
  </si>
  <si>
    <t>40x6B</t>
  </si>
  <si>
    <t>40x8B</t>
  </si>
  <si>
    <t>50x6B</t>
  </si>
  <si>
    <t>50x8B</t>
  </si>
  <si>
    <t>60x8B</t>
  </si>
  <si>
    <t>60x10B</t>
  </si>
  <si>
    <t>80x8B</t>
  </si>
  <si>
    <t>80x10B</t>
  </si>
  <si>
    <t>100x10B</t>
  </si>
  <si>
    <t>100x15B</t>
  </si>
  <si>
    <t>10x3C</t>
  </si>
  <si>
    <t>10x4C</t>
  </si>
  <si>
    <t>15x3C</t>
  </si>
  <si>
    <t>15x4C</t>
  </si>
  <si>
    <t>20x3C</t>
  </si>
  <si>
    <t>20x4C</t>
  </si>
  <si>
    <t>25x3C</t>
  </si>
  <si>
    <t>25x5C</t>
  </si>
  <si>
    <t>28x3C</t>
  </si>
  <si>
    <t>28x5C</t>
  </si>
  <si>
    <t>30x6C</t>
  </si>
  <si>
    <t>30x8C</t>
  </si>
  <si>
    <t>35x6C</t>
  </si>
  <si>
    <t>35x8C</t>
  </si>
  <si>
    <t>40x6C</t>
  </si>
  <si>
    <t>40x8C</t>
  </si>
  <si>
    <t>50x6C</t>
  </si>
  <si>
    <t>50x8C</t>
  </si>
  <si>
    <t>60x8C</t>
  </si>
  <si>
    <t>60x10C</t>
  </si>
  <si>
    <t>80x8C</t>
  </si>
  <si>
    <t>80x10C</t>
  </si>
  <si>
    <t>100x10C</t>
  </si>
  <si>
    <t>100x15C</t>
  </si>
  <si>
    <t>Tsim</t>
  </si>
  <si>
    <t>MS-SBLS</t>
  </si>
  <si>
    <t>MS-SBDF</t>
  </si>
  <si>
    <t>MS-SBDB</t>
  </si>
  <si>
    <t>MS-SBDBF</t>
  </si>
  <si>
    <t>MS-SimT</t>
  </si>
  <si>
    <t>MS-SimN</t>
  </si>
  <si>
    <t>MS-SBLSF</t>
  </si>
  <si>
    <t>CutOff</t>
  </si>
  <si>
    <t>NoCutOFF</t>
  </si>
  <si>
    <t>A</t>
  </si>
  <si>
    <t>B</t>
  </si>
  <si>
    <t>C</t>
  </si>
  <si>
    <t>CutOff vs NoCutOff</t>
  </si>
  <si>
    <t>#Wins</t>
  </si>
  <si>
    <t>#Ties</t>
  </si>
  <si>
    <t>#Losses</t>
  </si>
  <si>
    <t>BestObj</t>
  </si>
  <si>
    <t>AvgObj</t>
  </si>
  <si>
    <t>#losses</t>
  </si>
  <si>
    <t>p-value</t>
  </si>
  <si>
    <t>&amp;</t>
  </si>
  <si>
    <t>SetA</t>
  </si>
  <si>
    <t>\\</t>
  </si>
  <si>
    <t>SetB</t>
  </si>
  <si>
    <t>SetC</t>
  </si>
  <si>
    <t>Total</t>
  </si>
  <si>
    <t>&amp;&amp;&amp;</t>
  </si>
  <si>
    <t>\multirow{4}{*}{SetA}</t>
  </si>
  <si>
    <t>SimHGS vs. TSim</t>
  </si>
  <si>
    <t>SimHGS vs. SBDF100</t>
  </si>
  <si>
    <t>SimHGS vs. SBDB100</t>
  </si>
  <si>
    <t>SimHGS vs. All</t>
  </si>
  <si>
    <t>\--</t>
  </si>
  <si>
    <t>\hline</t>
  </si>
  <si>
    <t>\multirow{4}{*}{SetB}</t>
  </si>
  <si>
    <t>\multirow{4}{*}{SetC}</t>
  </si>
  <si>
    <t>\multirow{3}{*}{SetA}</t>
  </si>
  <si>
    <t>\multirow{3}{*}{SetB}</t>
  </si>
  <si>
    <t>\multirow{3}{*}{SetC}</t>
  </si>
  <si>
    <t>\#Wins</t>
  </si>
  <si>
    <t>\#Ties</t>
  </si>
  <si>
    <t>\#Losses</t>
  </si>
  <si>
    <t>\multicolumn{2}{SimHGS}</t>
  </si>
  <si>
    <t>\multicolumn{2}{Tsim}</t>
  </si>
  <si>
    <t>\multicolumn{2}{SBDFB100}</t>
  </si>
  <si>
    <t>\multicolumn{2}{SBDB100}</t>
  </si>
  <si>
    <t>Gap%</t>
  </si>
  <si>
    <t>SetA</t>
    <phoneticPr fontId="6" type="noConversion"/>
  </si>
  <si>
    <t>SetB</t>
    <phoneticPr fontId="6" type="noConversion"/>
  </si>
  <si>
    <t>SetC</t>
    <phoneticPr fontId="6" type="noConversion"/>
  </si>
  <si>
    <t>E</t>
    <phoneticPr fontId="6" type="noConversion"/>
  </si>
  <si>
    <t>Best</t>
    <phoneticPr fontId="6" type="noConversion"/>
  </si>
  <si>
    <t>Avg</t>
    <phoneticPr fontId="6" type="noConversion"/>
  </si>
  <si>
    <t>Best</t>
    <phoneticPr fontId="6" type="noConversion"/>
  </si>
  <si>
    <t>Avg</t>
    <phoneticPr fontId="6" type="noConversion"/>
  </si>
  <si>
    <t>T</t>
    <phoneticPr fontId="6" type="noConversion"/>
  </si>
  <si>
    <t>NOFAST</t>
    <phoneticPr fontId="6" type="noConversion"/>
  </si>
  <si>
    <t>min best</t>
    <phoneticPr fontId="6" type="noConversion"/>
  </si>
  <si>
    <t>min Avg</t>
    <phoneticPr fontId="6" type="noConversion"/>
  </si>
  <si>
    <t>minE</t>
    <phoneticPr fontId="6" type="noConversion"/>
  </si>
  <si>
    <t>&amp;&amp;</t>
  </si>
  <si>
    <t>{\em p}-value</t>
  </si>
  <si>
    <t>&amp;\multicolumn{3}{c}{</t>
  </si>
  <si>
    <t>}&amp; &amp;\multicolumn{3}{c}{</t>
  </si>
  <si>
    <t>}\\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</si>
</sst>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_);[Red]\(0.0\)"/>
    <numFmt numFmtId="178" formatCode="0.00_);[Red]\(0.00\)"/>
  </numFmts>
  <fonts count="7">
    <font>
      <sz val="11"/>
      <color theme="1"/>
      <name val="宋体"/>
      <charset val="134"/>
      <scheme val="minor"/>
    </font>
    <font>
      <sz val="12"/>
      <color rgb="FF111111"/>
      <name val="Arial Unicode MS"/>
      <family val="2"/>
    </font>
    <font>
      <sz val="11"/>
      <color theme="1"/>
      <name val="Times New Roman"/>
      <family val="1"/>
    </font>
    <font>
      <u/>
      <sz val="11"/>
      <color rgb="FF0000FF"/>
      <name val="Times New Roman"/>
      <family val="1"/>
    </font>
    <font>
      <u/>
      <sz val="11"/>
      <color rgb="FF0000FF"/>
      <name val="宋体"/>
      <family val="3"/>
      <charset val="134"/>
      <scheme val="minor"/>
    </font>
    <font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3" fillId="0" borderId="0" xfId="1" applyFont="1">
      <alignment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2" fontId="2" fillId="0" borderId="0" xfId="0" applyNumberFormat="1" applyFont="1">
      <alignment vertical="center"/>
    </xf>
    <xf numFmtId="0" fontId="4" fillId="0" borderId="0" xfId="1">
      <alignment vertical="center"/>
    </xf>
    <xf numFmtId="0" fontId="2" fillId="0" borderId="0" xfId="0" applyFont="1" applyAlignment="1">
      <alignment horizontal="center" vertical="center"/>
    </xf>
    <xf numFmtId="11" fontId="5" fillId="0" borderId="0" xfId="0" applyNumberFormat="1" applyFont="1">
      <alignment vertical="center"/>
    </xf>
    <xf numFmtId="11" fontId="2" fillId="0" borderId="0" xfId="0" applyNumberFormat="1" applyFont="1">
      <alignment vertical="center"/>
    </xf>
    <xf numFmtId="0" fontId="0" fillId="3" borderId="0" xfId="0" applyFill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4" borderId="0" xfId="0" applyFont="1" applyFill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3" borderId="5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WorstCasePerformance!$O$2</c:f>
              <c:strCache>
                <c:ptCount val="1"/>
                <c:pt idx="0">
                  <c:v>100</c:v>
                </c:pt>
              </c:strCache>
            </c:strRef>
          </c:tx>
          <c:spPr>
            <a:ln w="12700" cap="rnd" cmpd="sng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WorstCasePerformance!$N$3:$N$12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WorstCasePerformance!$O$3:$O$12</c:f>
              <c:numCache>
                <c:formatCode>General</c:formatCode>
                <c:ptCount val="10"/>
                <c:pt idx="0">
                  <c:v>22</c:v>
                </c:pt>
                <c:pt idx="1">
                  <c:v>22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19</c:v>
                </c:pt>
                <c:pt idx="6">
                  <c:v>15</c:v>
                </c:pt>
                <c:pt idx="7">
                  <c:v>10</c:v>
                </c:pt>
                <c:pt idx="8">
                  <c:v>7</c:v>
                </c:pt>
                <c:pt idx="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A-4AC7-883C-DDA07A84AE56}"/>
            </c:ext>
          </c:extLst>
        </c:ser>
        <c:ser>
          <c:idx val="1"/>
          <c:order val="1"/>
          <c:tx>
            <c:strRef>
              <c:f>WorstCasePerformance!$P$2</c:f>
              <c:strCache>
                <c:ptCount val="1"/>
                <c:pt idx="0">
                  <c:v>99</c:v>
                </c:pt>
              </c:strCache>
            </c:strRef>
          </c:tx>
          <c:spPr>
            <a:ln w="12700" cap="rnd" cmpd="sng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WorstCasePerformance!$N$3:$N$12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WorstCasePerformance!$P$3:$P$12</c:f>
              <c:numCache>
                <c:formatCode>General</c:formatCode>
                <c:ptCount val="1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22</c:v>
                </c:pt>
                <c:pt idx="7">
                  <c:v>20</c:v>
                </c:pt>
                <c:pt idx="8">
                  <c:v>15</c:v>
                </c:pt>
                <c:pt idx="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0A-4AC7-883C-DDA07A84AE56}"/>
            </c:ext>
          </c:extLst>
        </c:ser>
        <c:ser>
          <c:idx val="2"/>
          <c:order val="2"/>
          <c:tx>
            <c:strRef>
              <c:f>WorstCasePerformance!$Q$2</c:f>
              <c:strCache>
                <c:ptCount val="1"/>
                <c:pt idx="0">
                  <c:v>95</c:v>
                </c:pt>
              </c:strCache>
            </c:strRef>
          </c:tx>
          <c:spPr>
            <a:ln w="12700" cap="rnd" cmpd="sng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WorstCasePerformance!$N$3:$N$12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WorstCasePerformance!$Q$3:$Q$12</c:f>
              <c:numCache>
                <c:formatCode>General</c:formatCode>
                <c:ptCount val="1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19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0A-4AC7-883C-DDA07A84AE56}"/>
            </c:ext>
          </c:extLst>
        </c:ser>
        <c:ser>
          <c:idx val="3"/>
          <c:order val="3"/>
          <c:tx>
            <c:strRef>
              <c:f>WorstCasePerformance!$R$2</c:f>
              <c:strCache>
                <c:ptCount val="1"/>
                <c:pt idx="0">
                  <c:v>90</c:v>
                </c:pt>
              </c:strCache>
            </c:strRef>
          </c:tx>
          <c:spPr>
            <a:ln w="12700" cap="rnd" cmpd="sng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WorstCasePerformance!$N$3:$N$12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WorstCasePerformance!$R$3:$R$12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23</c:v>
                </c:pt>
                <c:pt idx="7">
                  <c:v>22</c:v>
                </c:pt>
                <c:pt idx="8">
                  <c:v>22</c:v>
                </c:pt>
                <c:pt idx="9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0A-4AC7-883C-DDA07A84AE56}"/>
            </c:ext>
          </c:extLst>
        </c:ser>
        <c:ser>
          <c:idx val="4"/>
          <c:order val="4"/>
          <c:tx>
            <c:strRef>
              <c:f>WorstCasePerformance!$S$2</c:f>
              <c:strCache>
                <c:ptCount val="1"/>
                <c:pt idx="0">
                  <c:v>80</c:v>
                </c:pt>
              </c:strCache>
            </c:strRef>
          </c:tx>
          <c:spPr>
            <a:ln w="12700" cap="rnd" cmpd="sng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WorstCasePerformance!$N$3:$N$12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WorstCasePerformance!$S$3:$S$12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0A-4AC7-883C-DDA07A84A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93811"/>
        <c:axId val="719196553"/>
      </c:scatterChart>
      <c:valAx>
        <c:axId val="5766938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9196553"/>
        <c:crosses val="autoZero"/>
        <c:crossBetween val="midCat"/>
      </c:valAx>
      <c:valAx>
        <c:axId val="7191965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669381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WorstCasePerformance!$V$2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WorstCasePerformance!$U$3:$U$12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WorstCasePerformance!$V$3:$V$12</c:f>
              <c:numCache>
                <c:formatCode>General</c:formatCode>
                <c:ptCount val="10"/>
                <c:pt idx="0">
                  <c:v>22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20</c:v>
                </c:pt>
                <c:pt idx="5">
                  <c:v>18</c:v>
                </c:pt>
                <c:pt idx="6">
                  <c:v>16</c:v>
                </c:pt>
                <c:pt idx="7">
                  <c:v>14</c:v>
                </c:pt>
                <c:pt idx="8">
                  <c:v>9</c:v>
                </c:pt>
                <c:pt idx="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A1-4457-AF6F-20B5105EA036}"/>
            </c:ext>
          </c:extLst>
        </c:ser>
        <c:ser>
          <c:idx val="1"/>
          <c:order val="1"/>
          <c:tx>
            <c:strRef>
              <c:f>WorstCasePerformance!$W$2</c:f>
              <c:strCache>
                <c:ptCount val="1"/>
                <c:pt idx="0">
                  <c:v>99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WorstCasePerformance!$U$3:$U$12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WorstCasePerformance!$W$3:$W$12</c:f>
              <c:numCache>
                <c:formatCode>General</c:formatCode>
                <c:ptCount val="10"/>
                <c:pt idx="0">
                  <c:v>24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21</c:v>
                </c:pt>
                <c:pt idx="5">
                  <c:v>21</c:v>
                </c:pt>
                <c:pt idx="6">
                  <c:v>20</c:v>
                </c:pt>
                <c:pt idx="7">
                  <c:v>18</c:v>
                </c:pt>
                <c:pt idx="8">
                  <c:v>14</c:v>
                </c:pt>
                <c:pt idx="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A1-4457-AF6F-20B5105EA036}"/>
            </c:ext>
          </c:extLst>
        </c:ser>
        <c:ser>
          <c:idx val="2"/>
          <c:order val="2"/>
          <c:tx>
            <c:strRef>
              <c:f>WorstCasePerformance!$X$2</c:f>
              <c:strCache>
                <c:ptCount val="1"/>
                <c:pt idx="0">
                  <c:v>95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WorstCasePerformance!$U$3:$U$12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WorstCasePerformance!$X$3:$X$12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22</c:v>
                </c:pt>
                <c:pt idx="5">
                  <c:v>21</c:v>
                </c:pt>
                <c:pt idx="6">
                  <c:v>21</c:v>
                </c:pt>
                <c:pt idx="7">
                  <c:v>20</c:v>
                </c:pt>
                <c:pt idx="8">
                  <c:v>19</c:v>
                </c:pt>
                <c:pt idx="9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A1-4457-AF6F-20B5105EA036}"/>
            </c:ext>
          </c:extLst>
        </c:ser>
        <c:ser>
          <c:idx val="3"/>
          <c:order val="3"/>
          <c:tx>
            <c:strRef>
              <c:f>WorstCasePerformance!$Y$2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WorstCasePerformance!$U$3:$U$12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WorstCasePerformance!$Y$3:$Y$12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22</c:v>
                </c:pt>
                <c:pt idx="6">
                  <c:v>22</c:v>
                </c:pt>
                <c:pt idx="7">
                  <c:v>21</c:v>
                </c:pt>
                <c:pt idx="8">
                  <c:v>20</c:v>
                </c:pt>
                <c:pt idx="9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A1-4457-AF6F-20B5105EA036}"/>
            </c:ext>
          </c:extLst>
        </c:ser>
        <c:ser>
          <c:idx val="4"/>
          <c:order val="4"/>
          <c:tx>
            <c:strRef>
              <c:f>WorstCasePerformance!$Z$2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WorstCasePerformance!$U$3:$U$12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WorstCasePerformance!$Z$3:$Z$12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23</c:v>
                </c:pt>
                <c:pt idx="6">
                  <c:v>23</c:v>
                </c:pt>
                <c:pt idx="7">
                  <c:v>22</c:v>
                </c:pt>
                <c:pt idx="8">
                  <c:v>21</c:v>
                </c:pt>
                <c:pt idx="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A1-4457-AF6F-20B5105EA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124146"/>
        <c:axId val="154336470"/>
      </c:scatterChart>
      <c:valAx>
        <c:axId val="7771241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336470"/>
        <c:crosses val="autoZero"/>
        <c:crossBetween val="midCat"/>
      </c:valAx>
      <c:valAx>
        <c:axId val="154336470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712414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WorstCasePerformance!$AC$2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WorstCasePerformance!$AB$3:$AB$12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WorstCasePerformance!$AC$3:$AC$12</c:f>
              <c:numCache>
                <c:formatCode>General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81-4B28-A93C-9CFE8BB1B065}"/>
            </c:ext>
          </c:extLst>
        </c:ser>
        <c:ser>
          <c:idx val="1"/>
          <c:order val="1"/>
          <c:tx>
            <c:strRef>
              <c:f>WorstCasePerformance!$AD$2</c:f>
              <c:strCache>
                <c:ptCount val="1"/>
                <c:pt idx="0">
                  <c:v>99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WorstCasePerformance!$AB$3:$AB$12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WorstCasePerformance!$AD$3:$AD$12</c:f>
              <c:numCache>
                <c:formatCode>General</c:formatCode>
                <c:ptCount val="10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81-4B28-A93C-9CFE8BB1B065}"/>
            </c:ext>
          </c:extLst>
        </c:ser>
        <c:ser>
          <c:idx val="2"/>
          <c:order val="2"/>
          <c:tx>
            <c:strRef>
              <c:f>WorstCasePerformance!$AE$2</c:f>
              <c:strCache>
                <c:ptCount val="1"/>
                <c:pt idx="0">
                  <c:v>95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WorstCasePerformance!$AB$3:$AB$12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WorstCasePerformance!$AE$3:$AE$12</c:f>
              <c:numCache>
                <c:formatCode>General</c:formatCode>
                <c:ptCount val="10"/>
                <c:pt idx="0">
                  <c:v>15</c:v>
                </c:pt>
                <c:pt idx="1">
                  <c:v>14</c:v>
                </c:pt>
                <c:pt idx="2">
                  <c:v>14</c:v>
                </c:pt>
                <c:pt idx="3">
                  <c:v>12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81-4B28-A93C-9CFE8BB1B065}"/>
            </c:ext>
          </c:extLst>
        </c:ser>
        <c:ser>
          <c:idx val="3"/>
          <c:order val="3"/>
          <c:tx>
            <c:strRef>
              <c:f>WorstCasePerformance!$AF$2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WorstCasePerformance!$AB$3:$AB$12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WorstCasePerformance!$AF$3:$AF$12</c:f>
              <c:numCache>
                <c:formatCode>General</c:formatCode>
                <c:ptCount val="10"/>
                <c:pt idx="0">
                  <c:v>18</c:v>
                </c:pt>
                <c:pt idx="1">
                  <c:v>17</c:v>
                </c:pt>
                <c:pt idx="2">
                  <c:v>15</c:v>
                </c:pt>
                <c:pt idx="3">
                  <c:v>15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8</c:v>
                </c:pt>
                <c:pt idx="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81-4B28-A93C-9CFE8BB1B065}"/>
            </c:ext>
          </c:extLst>
        </c:ser>
        <c:ser>
          <c:idx val="4"/>
          <c:order val="4"/>
          <c:tx>
            <c:strRef>
              <c:f>WorstCasePerformance!$AG$2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WorstCasePerformance!$AB$3:$AB$12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WorstCasePerformance!$AG$3:$AG$12</c:f>
              <c:numCache>
                <c:formatCode>General</c:formatCode>
                <c:ptCount val="10"/>
                <c:pt idx="0">
                  <c:v>22</c:v>
                </c:pt>
                <c:pt idx="1">
                  <c:v>22</c:v>
                </c:pt>
                <c:pt idx="2">
                  <c:v>21</c:v>
                </c:pt>
                <c:pt idx="3">
                  <c:v>21</c:v>
                </c:pt>
                <c:pt idx="4">
                  <c:v>19</c:v>
                </c:pt>
                <c:pt idx="5">
                  <c:v>16</c:v>
                </c:pt>
                <c:pt idx="6">
                  <c:v>15</c:v>
                </c:pt>
                <c:pt idx="7">
                  <c:v>13</c:v>
                </c:pt>
                <c:pt idx="8">
                  <c:v>11</c:v>
                </c:pt>
                <c:pt idx="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81-4B28-A93C-9CFE8BB1B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402887"/>
        <c:axId val="104307523"/>
      </c:scatterChart>
      <c:valAx>
        <c:axId val="423402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307523"/>
        <c:crosses val="autoZero"/>
        <c:crossBetween val="midCat"/>
      </c:valAx>
      <c:valAx>
        <c:axId val="1043075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40288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520700</xdr:colOff>
      <xdr:row>29</xdr:row>
      <xdr:rowOff>44450</xdr:rowOff>
    </xdr:from>
    <xdr:to>
      <xdr:col>23</xdr:col>
      <xdr:colOff>532765</xdr:colOff>
      <xdr:row>48</xdr:row>
      <xdr:rowOff>158750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476885</xdr:colOff>
      <xdr:row>29</xdr:row>
      <xdr:rowOff>100965</xdr:rowOff>
    </xdr:from>
    <xdr:to>
      <xdr:col>34</xdr:col>
      <xdr:colOff>107315</xdr:colOff>
      <xdr:row>49</xdr:row>
      <xdr:rowOff>57785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467920</xdr:colOff>
      <xdr:row>12</xdr:row>
      <xdr:rowOff>136749</xdr:rowOff>
    </xdr:from>
    <xdr:to>
      <xdr:col>34</xdr:col>
      <xdr:colOff>111685</xdr:colOff>
      <xdr:row>29</xdr:row>
      <xdr:rowOff>58644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" TargetMode="External"/><Relationship Id="rId2" Type="http://schemas.openxmlformats.org/officeDocument/2006/relationships/hyperlink" Target="../../../../../../" TargetMode="External"/><Relationship Id="rId1" Type="http://schemas.openxmlformats.org/officeDocument/2006/relationships/hyperlink" Target="../../../../../..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../../../../../..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" TargetMode="External"/><Relationship Id="rId13" Type="http://schemas.openxmlformats.org/officeDocument/2006/relationships/hyperlink" Target="../../../../../../" TargetMode="External"/><Relationship Id="rId3" Type="http://schemas.openxmlformats.org/officeDocument/2006/relationships/hyperlink" Target="../../../../../../" TargetMode="External"/><Relationship Id="rId7" Type="http://schemas.openxmlformats.org/officeDocument/2006/relationships/hyperlink" Target="../../../../../../" TargetMode="External"/><Relationship Id="rId12" Type="http://schemas.openxmlformats.org/officeDocument/2006/relationships/hyperlink" Target="../../../../../../" TargetMode="External"/><Relationship Id="rId2" Type="http://schemas.openxmlformats.org/officeDocument/2006/relationships/hyperlink" Target="../../../../../../" TargetMode="External"/><Relationship Id="rId1" Type="http://schemas.openxmlformats.org/officeDocument/2006/relationships/hyperlink" Target="../../../../../../" TargetMode="External"/><Relationship Id="rId6" Type="http://schemas.openxmlformats.org/officeDocument/2006/relationships/hyperlink" Target="../../../../../../" TargetMode="External"/><Relationship Id="rId11" Type="http://schemas.openxmlformats.org/officeDocument/2006/relationships/hyperlink" Target="../../../../../../" TargetMode="External"/><Relationship Id="rId5" Type="http://schemas.openxmlformats.org/officeDocument/2006/relationships/hyperlink" Target="../../../../../../" TargetMode="External"/><Relationship Id="rId10" Type="http://schemas.openxmlformats.org/officeDocument/2006/relationships/hyperlink" Target="../../../../../../" TargetMode="External"/><Relationship Id="rId4" Type="http://schemas.openxmlformats.org/officeDocument/2006/relationships/hyperlink" Target="../../../../../../" TargetMode="External"/><Relationship Id="rId9" Type="http://schemas.openxmlformats.org/officeDocument/2006/relationships/hyperlink" Target="../../../../../../" TargetMode="External"/><Relationship Id="rId14" Type="http://schemas.openxmlformats.org/officeDocument/2006/relationships/hyperlink" Target="../../../../../..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\" TargetMode="External"/><Relationship Id="rId3" Type="http://schemas.openxmlformats.org/officeDocument/2006/relationships/hyperlink" Target="../../../../../../" TargetMode="External"/><Relationship Id="rId7" Type="http://schemas.openxmlformats.org/officeDocument/2006/relationships/hyperlink" Target="../../../../../../" TargetMode="External"/><Relationship Id="rId2" Type="http://schemas.openxmlformats.org/officeDocument/2006/relationships/hyperlink" Target="../../../../../../" TargetMode="External"/><Relationship Id="rId1" Type="http://schemas.openxmlformats.org/officeDocument/2006/relationships/hyperlink" Target="../../../../../../" TargetMode="External"/><Relationship Id="rId6" Type="http://schemas.openxmlformats.org/officeDocument/2006/relationships/hyperlink" Target="../../../../../../" TargetMode="External"/><Relationship Id="rId5" Type="http://schemas.openxmlformats.org/officeDocument/2006/relationships/hyperlink" Target="../../../../../../" TargetMode="External"/><Relationship Id="rId10" Type="http://schemas.openxmlformats.org/officeDocument/2006/relationships/hyperlink" Target="\" TargetMode="External"/><Relationship Id="rId4" Type="http://schemas.openxmlformats.org/officeDocument/2006/relationships/hyperlink" Target="../../../../../../" TargetMode="External"/><Relationship Id="rId9" Type="http://schemas.openxmlformats.org/officeDocument/2006/relationships/hyperlink" Target="\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3:H75"/>
  <sheetViews>
    <sheetView topLeftCell="A10" workbookViewId="0">
      <selection activeCell="S55" sqref="S55"/>
    </sheetView>
  </sheetViews>
  <sheetFormatPr defaultColWidth="9" defaultRowHeight="14"/>
  <sheetData>
    <row r="3" spans="1:8"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</row>
    <row r="4" spans="1:8">
      <c r="A4" t="s">
        <v>7</v>
      </c>
      <c r="B4">
        <v>1</v>
      </c>
      <c r="C4">
        <v>4.9000000000000004</v>
      </c>
      <c r="D4">
        <v>7.5</v>
      </c>
      <c r="E4">
        <v>2.6</v>
      </c>
      <c r="F4">
        <v>0.3</v>
      </c>
      <c r="G4">
        <v>0.7</v>
      </c>
      <c r="H4">
        <v>1</v>
      </c>
    </row>
    <row r="5" spans="1:8">
      <c r="A5" t="s">
        <v>8</v>
      </c>
      <c r="B5">
        <v>0.9</v>
      </c>
      <c r="C5">
        <v>3.2</v>
      </c>
      <c r="D5">
        <v>5.4</v>
      </c>
      <c r="E5">
        <v>2.2999999999999998</v>
      </c>
      <c r="F5">
        <v>0.3</v>
      </c>
      <c r="G5">
        <v>0.8</v>
      </c>
      <c r="H5">
        <v>0.9</v>
      </c>
    </row>
    <row r="6" spans="1:8">
      <c r="A6" t="s">
        <v>9</v>
      </c>
      <c r="B6">
        <v>1.3</v>
      </c>
      <c r="C6">
        <v>10.1</v>
      </c>
      <c r="D6">
        <v>16.100000000000001</v>
      </c>
      <c r="E6">
        <v>4.3</v>
      </c>
      <c r="F6">
        <v>0.3</v>
      </c>
      <c r="G6">
        <v>0.8</v>
      </c>
      <c r="H6">
        <v>1.3</v>
      </c>
    </row>
    <row r="7" spans="1:8">
      <c r="A7" t="s">
        <v>10</v>
      </c>
      <c r="B7">
        <v>1.3</v>
      </c>
      <c r="C7">
        <v>11.2</v>
      </c>
      <c r="D7">
        <v>18.2</v>
      </c>
      <c r="E7">
        <v>4.5</v>
      </c>
      <c r="F7">
        <v>0.3</v>
      </c>
      <c r="G7">
        <v>0.9</v>
      </c>
      <c r="H7">
        <v>1.3</v>
      </c>
    </row>
    <row r="8" spans="1:8">
      <c r="A8" t="s">
        <v>11</v>
      </c>
      <c r="B8">
        <v>1.4</v>
      </c>
      <c r="C8">
        <v>18.399999999999999</v>
      </c>
      <c r="D8">
        <v>29.3</v>
      </c>
      <c r="E8">
        <v>5.5</v>
      </c>
      <c r="F8">
        <v>0.3</v>
      </c>
      <c r="G8">
        <v>0.8</v>
      </c>
      <c r="H8">
        <v>1.5</v>
      </c>
    </row>
    <row r="9" spans="1:8">
      <c r="A9" t="s">
        <v>12</v>
      </c>
      <c r="B9">
        <v>1.6</v>
      </c>
      <c r="C9">
        <v>21.8</v>
      </c>
      <c r="D9">
        <v>33.799999999999997</v>
      </c>
      <c r="E9">
        <v>6.3</v>
      </c>
      <c r="F9">
        <v>0.4</v>
      </c>
      <c r="G9">
        <v>0.9</v>
      </c>
      <c r="H9">
        <v>1.6</v>
      </c>
    </row>
    <row r="10" spans="1:8">
      <c r="A10" t="s">
        <v>13</v>
      </c>
      <c r="B10">
        <v>1.7</v>
      </c>
      <c r="C10">
        <v>25.2</v>
      </c>
      <c r="D10">
        <v>43.5</v>
      </c>
      <c r="E10">
        <v>7.1</v>
      </c>
      <c r="F10">
        <v>0.4</v>
      </c>
      <c r="G10">
        <v>1</v>
      </c>
      <c r="H10">
        <v>1.7</v>
      </c>
    </row>
    <row r="11" spans="1:8">
      <c r="A11" t="s">
        <v>14</v>
      </c>
      <c r="B11">
        <v>2.5</v>
      </c>
      <c r="C11">
        <v>66.400000000000006</v>
      </c>
      <c r="D11">
        <v>114.1</v>
      </c>
      <c r="E11">
        <v>13.6</v>
      </c>
      <c r="F11">
        <v>0.5</v>
      </c>
      <c r="G11">
        <v>1.2</v>
      </c>
      <c r="H11">
        <v>2.5</v>
      </c>
    </row>
    <row r="12" spans="1:8">
      <c r="A12" t="s">
        <v>15</v>
      </c>
      <c r="B12">
        <v>1.8</v>
      </c>
      <c r="C12">
        <v>37.1</v>
      </c>
      <c r="D12">
        <v>64.7</v>
      </c>
      <c r="E12">
        <v>8</v>
      </c>
      <c r="F12">
        <v>0.3</v>
      </c>
      <c r="G12">
        <v>0.9</v>
      </c>
      <c r="H12">
        <v>1.8</v>
      </c>
    </row>
    <row r="13" spans="1:8">
      <c r="A13" t="s">
        <v>16</v>
      </c>
      <c r="B13">
        <v>2.4</v>
      </c>
      <c r="C13">
        <v>75.5</v>
      </c>
      <c r="D13">
        <v>134.19999999999999</v>
      </c>
      <c r="E13">
        <v>14</v>
      </c>
      <c r="F13">
        <v>0.5</v>
      </c>
      <c r="G13">
        <v>1.2</v>
      </c>
      <c r="H13">
        <v>2.4</v>
      </c>
    </row>
    <row r="14" spans="1:8">
      <c r="A14" t="s">
        <v>17</v>
      </c>
      <c r="B14">
        <v>2.8</v>
      </c>
      <c r="C14">
        <v>93.5</v>
      </c>
      <c r="D14">
        <v>163.6</v>
      </c>
      <c r="E14">
        <v>16.8</v>
      </c>
      <c r="F14">
        <v>0.6</v>
      </c>
      <c r="G14">
        <v>1.3</v>
      </c>
      <c r="H14">
        <v>2.8</v>
      </c>
    </row>
    <row r="15" spans="1:8">
      <c r="A15" t="s">
        <v>18</v>
      </c>
      <c r="B15">
        <v>3.1</v>
      </c>
      <c r="C15">
        <v>121.8</v>
      </c>
      <c r="D15">
        <v>215.4</v>
      </c>
      <c r="E15">
        <v>21</v>
      </c>
      <c r="F15">
        <v>0.6</v>
      </c>
      <c r="G15">
        <v>1.3</v>
      </c>
      <c r="H15">
        <v>3.1</v>
      </c>
    </row>
    <row r="16" spans="1:8">
      <c r="A16" t="s">
        <v>19</v>
      </c>
      <c r="B16">
        <v>3.8</v>
      </c>
      <c r="C16">
        <v>166.6</v>
      </c>
      <c r="D16">
        <v>297.5</v>
      </c>
      <c r="E16">
        <v>26.4</v>
      </c>
      <c r="F16">
        <v>0.6</v>
      </c>
      <c r="G16">
        <v>1.4</v>
      </c>
      <c r="H16">
        <v>3.9</v>
      </c>
    </row>
    <row r="17" spans="1:8">
      <c r="A17" t="s">
        <v>20</v>
      </c>
      <c r="B17">
        <v>3.8</v>
      </c>
      <c r="C17">
        <v>202.3</v>
      </c>
      <c r="D17">
        <v>356.7</v>
      </c>
      <c r="E17">
        <v>28.4</v>
      </c>
      <c r="F17">
        <v>0.7</v>
      </c>
      <c r="G17">
        <v>1.6</v>
      </c>
      <c r="H17">
        <v>3.9</v>
      </c>
    </row>
    <row r="18" spans="1:8">
      <c r="A18" t="s">
        <v>21</v>
      </c>
      <c r="B18">
        <v>4.0999999999999996</v>
      </c>
      <c r="C18">
        <v>225.3</v>
      </c>
      <c r="D18">
        <v>423.1</v>
      </c>
      <c r="E18">
        <v>32.200000000000003</v>
      </c>
      <c r="F18">
        <v>0.7</v>
      </c>
      <c r="G18">
        <v>1.6</v>
      </c>
      <c r="H18">
        <v>4.2</v>
      </c>
    </row>
    <row r="19" spans="1:8">
      <c r="A19" t="s">
        <v>22</v>
      </c>
      <c r="B19">
        <v>4.7</v>
      </c>
      <c r="C19">
        <v>302.5</v>
      </c>
      <c r="D19">
        <v>585.5</v>
      </c>
      <c r="E19">
        <v>40.9</v>
      </c>
      <c r="F19">
        <v>0.9</v>
      </c>
      <c r="G19">
        <v>1.9</v>
      </c>
      <c r="H19">
        <v>4.7</v>
      </c>
    </row>
    <row r="20" spans="1:8">
      <c r="A20" t="s">
        <v>23</v>
      </c>
      <c r="B20">
        <v>5.8</v>
      </c>
      <c r="C20">
        <v>437.1</v>
      </c>
      <c r="D20">
        <v>776.6</v>
      </c>
      <c r="E20">
        <v>52.2</v>
      </c>
      <c r="F20">
        <v>1.1000000000000001</v>
      </c>
      <c r="G20">
        <v>2.2999999999999998</v>
      </c>
      <c r="H20">
        <v>5.9</v>
      </c>
    </row>
    <row r="21" spans="1:8">
      <c r="A21" t="s">
        <v>24</v>
      </c>
      <c r="B21">
        <v>7.8</v>
      </c>
      <c r="C21">
        <v>861.7</v>
      </c>
      <c r="D21">
        <v>1574.3</v>
      </c>
      <c r="E21">
        <v>86.5</v>
      </c>
      <c r="F21">
        <v>1.2</v>
      </c>
      <c r="G21">
        <v>2.4</v>
      </c>
      <c r="H21">
        <v>7.9</v>
      </c>
    </row>
    <row r="22" spans="1:8">
      <c r="A22" t="s">
        <v>25</v>
      </c>
      <c r="B22">
        <v>11.1</v>
      </c>
      <c r="C22">
        <v>1557.1</v>
      </c>
      <c r="D22">
        <v>2994.1</v>
      </c>
      <c r="E22">
        <v>144.6</v>
      </c>
      <c r="F22">
        <v>1.6</v>
      </c>
      <c r="G22">
        <v>3.1</v>
      </c>
      <c r="H22">
        <v>11.2</v>
      </c>
    </row>
    <row r="23" spans="1:8">
      <c r="A23" t="s">
        <v>26</v>
      </c>
      <c r="B23">
        <v>9.3000000000000007</v>
      </c>
      <c r="C23">
        <v>1092.5</v>
      </c>
      <c r="D23">
        <v>1999.3</v>
      </c>
      <c r="E23">
        <v>104.4</v>
      </c>
      <c r="F23">
        <v>1.4</v>
      </c>
      <c r="G23">
        <v>2.8</v>
      </c>
      <c r="H23">
        <v>9.4</v>
      </c>
    </row>
    <row r="24" spans="1:8">
      <c r="A24" t="s">
        <v>27</v>
      </c>
      <c r="B24">
        <v>17.3</v>
      </c>
      <c r="C24">
        <v>4502</v>
      </c>
      <c r="D24">
        <v>8188</v>
      </c>
      <c r="E24">
        <v>288.10000000000002</v>
      </c>
      <c r="F24">
        <v>2.2000000000000002</v>
      </c>
      <c r="G24">
        <v>3.9</v>
      </c>
      <c r="H24">
        <v>17.5</v>
      </c>
    </row>
    <row r="25" spans="1:8">
      <c r="A25" t="s">
        <v>28</v>
      </c>
      <c r="B25">
        <v>16.100000000000001</v>
      </c>
      <c r="C25">
        <v>3386.5</v>
      </c>
      <c r="D25">
        <v>6596.8</v>
      </c>
      <c r="E25">
        <v>235.9</v>
      </c>
      <c r="F25">
        <v>2.1</v>
      </c>
      <c r="G25">
        <v>3.7</v>
      </c>
      <c r="H25">
        <v>16.2</v>
      </c>
    </row>
    <row r="26" spans="1:8">
      <c r="A26" t="s">
        <v>29</v>
      </c>
      <c r="B26">
        <v>27.6</v>
      </c>
      <c r="C26">
        <v>9211</v>
      </c>
      <c r="D26">
        <v>17283.099999999999</v>
      </c>
      <c r="E26">
        <v>534.5</v>
      </c>
      <c r="F26">
        <v>3.1</v>
      </c>
      <c r="G26">
        <v>5.0999999999999996</v>
      </c>
      <c r="H26">
        <v>27.9</v>
      </c>
    </row>
    <row r="27" spans="1:8">
      <c r="A27" t="s">
        <v>30</v>
      </c>
      <c r="B27">
        <v>34.200000000000003</v>
      </c>
      <c r="C27">
        <v>13200.8</v>
      </c>
      <c r="D27">
        <v>24033</v>
      </c>
      <c r="E27">
        <v>731.3</v>
      </c>
      <c r="F27">
        <v>4.3</v>
      </c>
      <c r="G27">
        <v>6.6</v>
      </c>
      <c r="H27">
        <v>34.6</v>
      </c>
    </row>
    <row r="28" spans="1:8">
      <c r="A28" t="s">
        <v>31</v>
      </c>
      <c r="B28">
        <v>1.8</v>
      </c>
      <c r="C28">
        <v>10.7</v>
      </c>
      <c r="D28">
        <v>17.5</v>
      </c>
      <c r="E28">
        <v>5.0999999999999996</v>
      </c>
      <c r="F28">
        <v>0.4</v>
      </c>
      <c r="G28">
        <v>0.8</v>
      </c>
      <c r="H28">
        <v>1.8</v>
      </c>
    </row>
    <row r="29" spans="1:8">
      <c r="A29" t="s">
        <v>32</v>
      </c>
      <c r="B29">
        <v>1.5</v>
      </c>
      <c r="C29">
        <v>7.6</v>
      </c>
      <c r="D29">
        <v>13.2</v>
      </c>
      <c r="E29">
        <v>4.2</v>
      </c>
      <c r="F29">
        <v>0.4</v>
      </c>
      <c r="G29">
        <v>0.8</v>
      </c>
      <c r="H29">
        <v>1.6</v>
      </c>
    </row>
    <row r="30" spans="1:8">
      <c r="A30" t="s">
        <v>33</v>
      </c>
      <c r="B30">
        <v>2.4</v>
      </c>
      <c r="C30">
        <v>25.8</v>
      </c>
      <c r="D30">
        <v>39.9</v>
      </c>
      <c r="E30">
        <v>8.6999999999999993</v>
      </c>
      <c r="F30">
        <v>0.4</v>
      </c>
      <c r="G30">
        <v>0.8</v>
      </c>
      <c r="H30">
        <v>2.4</v>
      </c>
    </row>
    <row r="31" spans="1:8">
      <c r="A31" t="s">
        <v>34</v>
      </c>
      <c r="B31">
        <v>2.2999999999999998</v>
      </c>
      <c r="C31">
        <v>25.5</v>
      </c>
      <c r="D31">
        <v>38.700000000000003</v>
      </c>
      <c r="E31">
        <v>8.5</v>
      </c>
      <c r="F31">
        <v>0.5</v>
      </c>
      <c r="G31">
        <v>0.9</v>
      </c>
      <c r="H31">
        <v>2.2999999999999998</v>
      </c>
    </row>
    <row r="32" spans="1:8">
      <c r="A32" t="s">
        <v>35</v>
      </c>
      <c r="B32">
        <v>3.3</v>
      </c>
      <c r="C32">
        <v>44.8</v>
      </c>
      <c r="D32">
        <v>72.8</v>
      </c>
      <c r="E32">
        <v>12.8</v>
      </c>
      <c r="F32">
        <v>0.5</v>
      </c>
      <c r="G32">
        <v>0.9</v>
      </c>
      <c r="H32">
        <v>3.3</v>
      </c>
    </row>
    <row r="33" spans="1:8">
      <c r="A33" t="s">
        <v>36</v>
      </c>
      <c r="B33">
        <v>3.7</v>
      </c>
      <c r="C33">
        <v>61.9</v>
      </c>
      <c r="D33">
        <v>98</v>
      </c>
      <c r="E33">
        <v>16.100000000000001</v>
      </c>
      <c r="F33">
        <v>0.6</v>
      </c>
      <c r="G33">
        <v>1.1000000000000001</v>
      </c>
      <c r="H33">
        <v>3.7</v>
      </c>
    </row>
    <row r="34" spans="1:8">
      <c r="A34" t="s">
        <v>37</v>
      </c>
      <c r="B34">
        <v>3.8</v>
      </c>
      <c r="C34">
        <v>82.2</v>
      </c>
      <c r="D34">
        <v>146.6</v>
      </c>
      <c r="E34">
        <v>18.600000000000001</v>
      </c>
      <c r="F34">
        <v>0.7</v>
      </c>
      <c r="G34">
        <v>1.2</v>
      </c>
      <c r="H34">
        <v>3.9</v>
      </c>
    </row>
    <row r="35" spans="1:8">
      <c r="A35" t="s">
        <v>38</v>
      </c>
      <c r="B35">
        <v>5.3</v>
      </c>
      <c r="C35">
        <v>156.5</v>
      </c>
      <c r="D35">
        <v>262.10000000000002</v>
      </c>
      <c r="E35">
        <v>30.4</v>
      </c>
      <c r="F35">
        <v>0.9</v>
      </c>
      <c r="G35">
        <v>1.5</v>
      </c>
      <c r="H35">
        <v>5.3</v>
      </c>
    </row>
    <row r="36" spans="1:8">
      <c r="A36" t="s">
        <v>39</v>
      </c>
      <c r="B36">
        <v>4.2</v>
      </c>
      <c r="C36">
        <v>84.3</v>
      </c>
      <c r="D36">
        <v>147.4</v>
      </c>
      <c r="E36">
        <v>19.5</v>
      </c>
      <c r="F36">
        <v>0.7</v>
      </c>
      <c r="G36">
        <v>1.1000000000000001</v>
      </c>
      <c r="H36">
        <v>4.2</v>
      </c>
    </row>
    <row r="37" spans="1:8">
      <c r="A37" t="s">
        <v>40</v>
      </c>
      <c r="B37">
        <v>5.6</v>
      </c>
      <c r="C37">
        <v>221.5</v>
      </c>
      <c r="D37">
        <v>382.4</v>
      </c>
      <c r="E37">
        <v>36.9</v>
      </c>
      <c r="F37">
        <v>1</v>
      </c>
      <c r="G37">
        <v>1.6</v>
      </c>
      <c r="H37">
        <v>5.7</v>
      </c>
    </row>
    <row r="38" spans="1:8">
      <c r="A38" t="s">
        <v>41</v>
      </c>
      <c r="B38">
        <v>6.2</v>
      </c>
      <c r="C38">
        <v>239</v>
      </c>
      <c r="D38">
        <v>420.3</v>
      </c>
      <c r="E38">
        <v>41.9</v>
      </c>
      <c r="F38">
        <v>1.1000000000000001</v>
      </c>
      <c r="G38">
        <v>1.7</v>
      </c>
      <c r="H38">
        <v>6.2</v>
      </c>
    </row>
    <row r="39" spans="1:8">
      <c r="A39" t="s">
        <v>42</v>
      </c>
      <c r="B39">
        <v>6.9</v>
      </c>
      <c r="C39">
        <v>337.8</v>
      </c>
      <c r="D39">
        <v>534.1</v>
      </c>
      <c r="E39">
        <v>50.4</v>
      </c>
      <c r="F39">
        <v>1.1000000000000001</v>
      </c>
      <c r="G39">
        <v>1.7</v>
      </c>
      <c r="H39">
        <v>6.8</v>
      </c>
    </row>
    <row r="40" spans="1:8">
      <c r="A40" t="s">
        <v>43</v>
      </c>
      <c r="B40">
        <v>8.6</v>
      </c>
      <c r="C40">
        <v>366.5</v>
      </c>
      <c r="D40">
        <v>690.8</v>
      </c>
      <c r="E40">
        <v>62</v>
      </c>
      <c r="F40">
        <v>1.2</v>
      </c>
      <c r="G40">
        <v>1.8</v>
      </c>
      <c r="H40">
        <v>8.6999999999999993</v>
      </c>
    </row>
    <row r="41" spans="1:8">
      <c r="A41" t="s">
        <v>44</v>
      </c>
      <c r="B41">
        <v>8.6</v>
      </c>
      <c r="C41">
        <v>499.6</v>
      </c>
      <c r="D41">
        <v>889.7</v>
      </c>
      <c r="E41">
        <v>72.900000000000006</v>
      </c>
      <c r="F41">
        <v>1.5</v>
      </c>
      <c r="G41">
        <v>2.1</v>
      </c>
      <c r="H41">
        <v>8.6</v>
      </c>
    </row>
    <row r="42" spans="1:8">
      <c r="A42" t="s">
        <v>45</v>
      </c>
      <c r="B42">
        <v>9.6999999999999993</v>
      </c>
      <c r="C42">
        <v>488.9</v>
      </c>
      <c r="D42">
        <v>969.2</v>
      </c>
      <c r="E42">
        <v>80.900000000000006</v>
      </c>
      <c r="F42">
        <v>1.4</v>
      </c>
      <c r="G42">
        <v>2</v>
      </c>
      <c r="H42">
        <v>9.6</v>
      </c>
    </row>
    <row r="43" spans="1:8">
      <c r="A43" t="s">
        <v>46</v>
      </c>
      <c r="B43">
        <v>9.9</v>
      </c>
      <c r="C43">
        <v>624.20000000000005</v>
      </c>
      <c r="D43">
        <v>1167.3</v>
      </c>
      <c r="E43">
        <v>90.8</v>
      </c>
      <c r="F43">
        <v>1.7</v>
      </c>
      <c r="G43">
        <v>2.4</v>
      </c>
      <c r="H43">
        <v>9.9</v>
      </c>
    </row>
    <row r="44" spans="1:8">
      <c r="A44" t="s">
        <v>47</v>
      </c>
      <c r="B44">
        <v>16</v>
      </c>
      <c r="C44">
        <v>1406.1</v>
      </c>
      <c r="D44">
        <v>2586.3000000000002</v>
      </c>
      <c r="E44">
        <v>167.2</v>
      </c>
      <c r="F44">
        <v>2.2999999999999998</v>
      </c>
      <c r="G44">
        <v>3</v>
      </c>
      <c r="H44">
        <v>16.2</v>
      </c>
    </row>
    <row r="45" spans="1:8">
      <c r="A45" t="s">
        <v>48</v>
      </c>
      <c r="B45">
        <v>18.100000000000001</v>
      </c>
      <c r="C45">
        <v>1693.8</v>
      </c>
      <c r="D45">
        <v>3095.1</v>
      </c>
      <c r="E45">
        <v>195.7</v>
      </c>
      <c r="F45">
        <v>2.5</v>
      </c>
      <c r="G45">
        <v>3.1</v>
      </c>
      <c r="H45">
        <v>18.100000000000001</v>
      </c>
    </row>
    <row r="46" spans="1:8">
      <c r="A46" t="s">
        <v>49</v>
      </c>
      <c r="B46">
        <v>25.4</v>
      </c>
      <c r="C46">
        <v>3177.4</v>
      </c>
      <c r="D46">
        <v>5918.2</v>
      </c>
      <c r="E46">
        <v>341.2</v>
      </c>
      <c r="F46">
        <v>3.6</v>
      </c>
      <c r="G46">
        <v>4.2</v>
      </c>
      <c r="H46">
        <v>25.6</v>
      </c>
    </row>
    <row r="47" spans="1:8">
      <c r="A47" t="s">
        <v>50</v>
      </c>
      <c r="B47">
        <v>24.7</v>
      </c>
      <c r="C47">
        <v>2618.1999999999998</v>
      </c>
      <c r="D47">
        <v>4995.8999999999996</v>
      </c>
      <c r="E47">
        <v>296.5</v>
      </c>
      <c r="F47">
        <v>3.2</v>
      </c>
      <c r="G47">
        <v>3.9</v>
      </c>
      <c r="H47">
        <v>24.9</v>
      </c>
    </row>
    <row r="48" spans="1:8">
      <c r="A48" t="s">
        <v>51</v>
      </c>
      <c r="B48">
        <v>43.9</v>
      </c>
      <c r="C48">
        <v>8763.6</v>
      </c>
      <c r="D48">
        <v>15654.7</v>
      </c>
      <c r="E48">
        <v>700</v>
      </c>
      <c r="F48">
        <v>5.4</v>
      </c>
      <c r="G48">
        <v>5.9</v>
      </c>
      <c r="H48">
        <v>44.1</v>
      </c>
    </row>
    <row r="49" spans="1:8">
      <c r="A49" t="s">
        <v>52</v>
      </c>
      <c r="B49">
        <v>47</v>
      </c>
      <c r="C49">
        <v>8863.5</v>
      </c>
      <c r="D49">
        <v>16781.8</v>
      </c>
      <c r="E49">
        <v>732.7</v>
      </c>
      <c r="F49">
        <v>4.9000000000000004</v>
      </c>
      <c r="G49">
        <v>5.5</v>
      </c>
      <c r="H49">
        <v>47.1</v>
      </c>
    </row>
    <row r="50" spans="1:8">
      <c r="A50" t="s">
        <v>53</v>
      </c>
      <c r="B50">
        <v>68.8</v>
      </c>
      <c r="C50">
        <v>19682.5</v>
      </c>
      <c r="D50">
        <v>36466.300000000003</v>
      </c>
      <c r="E50">
        <v>1389.2</v>
      </c>
      <c r="F50">
        <v>7.8</v>
      </c>
      <c r="G50">
        <v>8</v>
      </c>
      <c r="H50">
        <v>69.099999999999994</v>
      </c>
    </row>
    <row r="51" spans="1:8">
      <c r="A51" t="s">
        <v>54</v>
      </c>
      <c r="B51">
        <v>69.8</v>
      </c>
      <c r="C51">
        <v>25295.3</v>
      </c>
      <c r="D51">
        <v>44960.3</v>
      </c>
      <c r="E51">
        <v>1690.1</v>
      </c>
      <c r="F51">
        <v>11.6</v>
      </c>
      <c r="G51">
        <v>11.1</v>
      </c>
      <c r="H51">
        <v>70</v>
      </c>
    </row>
    <row r="52" spans="1:8">
      <c r="A52" t="s">
        <v>55</v>
      </c>
      <c r="B52">
        <v>2</v>
      </c>
      <c r="C52">
        <v>5</v>
      </c>
      <c r="D52">
        <v>5.2</v>
      </c>
      <c r="E52">
        <v>4.4000000000000004</v>
      </c>
      <c r="F52">
        <v>0.7</v>
      </c>
      <c r="G52">
        <v>1.1000000000000001</v>
      </c>
      <c r="H52">
        <v>1.9</v>
      </c>
    </row>
    <row r="53" spans="1:8">
      <c r="A53" t="s">
        <v>56</v>
      </c>
      <c r="B53">
        <v>2</v>
      </c>
      <c r="C53">
        <v>5.6</v>
      </c>
      <c r="D53">
        <v>6.1</v>
      </c>
      <c r="E53">
        <v>4.7</v>
      </c>
      <c r="F53">
        <v>0.7</v>
      </c>
      <c r="G53">
        <v>1.1000000000000001</v>
      </c>
      <c r="H53">
        <v>2</v>
      </c>
    </row>
    <row r="54" spans="1:8">
      <c r="A54" t="s">
        <v>57</v>
      </c>
      <c r="B54">
        <v>2.7</v>
      </c>
      <c r="C54">
        <v>10.1</v>
      </c>
      <c r="D54">
        <v>11.3</v>
      </c>
      <c r="E54">
        <v>7.7</v>
      </c>
      <c r="F54">
        <v>0.8</v>
      </c>
      <c r="G54">
        <v>1.3</v>
      </c>
      <c r="H54">
        <v>2.7</v>
      </c>
    </row>
    <row r="55" spans="1:8">
      <c r="A55" t="s">
        <v>58</v>
      </c>
      <c r="B55">
        <v>2.7</v>
      </c>
      <c r="C55">
        <v>10.7</v>
      </c>
      <c r="D55">
        <v>12.8</v>
      </c>
      <c r="E55">
        <v>7.8</v>
      </c>
      <c r="F55">
        <v>0.8</v>
      </c>
      <c r="G55">
        <v>1.3</v>
      </c>
      <c r="H55">
        <v>2.7</v>
      </c>
    </row>
    <row r="56" spans="1:8">
      <c r="A56" t="s">
        <v>59</v>
      </c>
      <c r="B56">
        <v>3.2</v>
      </c>
      <c r="C56">
        <v>13.5</v>
      </c>
      <c r="D56">
        <v>25.2</v>
      </c>
      <c r="E56">
        <v>11.1</v>
      </c>
      <c r="F56">
        <v>1</v>
      </c>
      <c r="G56">
        <v>1.5</v>
      </c>
      <c r="H56">
        <v>3.2</v>
      </c>
    </row>
    <row r="57" spans="1:8">
      <c r="A57" t="s">
        <v>60</v>
      </c>
      <c r="B57">
        <v>3.4</v>
      </c>
      <c r="C57">
        <v>16.8</v>
      </c>
      <c r="D57">
        <v>36.1</v>
      </c>
      <c r="E57">
        <v>12.9</v>
      </c>
      <c r="F57">
        <v>1.1000000000000001</v>
      </c>
      <c r="G57">
        <v>1.6</v>
      </c>
      <c r="H57">
        <v>3.4</v>
      </c>
    </row>
    <row r="58" spans="1:8">
      <c r="A58" t="s">
        <v>61</v>
      </c>
      <c r="B58">
        <v>3.8</v>
      </c>
      <c r="C58">
        <v>25.1</v>
      </c>
      <c r="D58">
        <v>33.200000000000003</v>
      </c>
      <c r="E58">
        <v>14.8</v>
      </c>
      <c r="F58">
        <v>1.2</v>
      </c>
      <c r="G58">
        <v>1.7</v>
      </c>
      <c r="H58">
        <v>3.8</v>
      </c>
    </row>
    <row r="59" spans="1:8">
      <c r="A59" t="s">
        <v>62</v>
      </c>
      <c r="B59">
        <v>4.0999999999999996</v>
      </c>
      <c r="C59">
        <v>51.5</v>
      </c>
      <c r="D59">
        <v>71.099999999999994</v>
      </c>
      <c r="E59">
        <v>19.7</v>
      </c>
      <c r="F59">
        <v>1.4</v>
      </c>
      <c r="G59">
        <v>1.9</v>
      </c>
      <c r="H59">
        <v>4.0999999999999996</v>
      </c>
    </row>
    <row r="60" spans="1:8">
      <c r="A60" t="s">
        <v>63</v>
      </c>
      <c r="B60">
        <v>4.0999999999999996</v>
      </c>
      <c r="C60">
        <v>44.1</v>
      </c>
      <c r="D60">
        <v>62.6</v>
      </c>
      <c r="E60">
        <v>18.2</v>
      </c>
      <c r="F60">
        <v>1.3</v>
      </c>
      <c r="G60">
        <v>1.9</v>
      </c>
      <c r="H60">
        <v>4.0999999999999996</v>
      </c>
    </row>
    <row r="61" spans="1:8">
      <c r="A61" t="s">
        <v>64</v>
      </c>
      <c r="B61">
        <v>4.9000000000000004</v>
      </c>
      <c r="C61">
        <v>95.7</v>
      </c>
      <c r="D61">
        <v>148.30000000000001</v>
      </c>
      <c r="E61">
        <v>27.3</v>
      </c>
      <c r="F61">
        <v>1.5</v>
      </c>
      <c r="G61">
        <v>2</v>
      </c>
      <c r="H61">
        <v>4.9000000000000004</v>
      </c>
    </row>
    <row r="62" spans="1:8">
      <c r="A62" t="s">
        <v>65</v>
      </c>
      <c r="B62">
        <v>5</v>
      </c>
      <c r="C62">
        <v>71.099999999999994</v>
      </c>
      <c r="D62">
        <v>136.9</v>
      </c>
      <c r="E62">
        <v>29.5</v>
      </c>
      <c r="F62">
        <v>1.6</v>
      </c>
      <c r="G62">
        <v>2.2000000000000002</v>
      </c>
      <c r="H62">
        <v>5</v>
      </c>
    </row>
    <row r="63" spans="1:8">
      <c r="A63" t="s">
        <v>66</v>
      </c>
      <c r="B63">
        <v>5.0999999999999996</v>
      </c>
      <c r="C63">
        <v>82.2</v>
      </c>
      <c r="D63">
        <v>162.4</v>
      </c>
      <c r="E63">
        <v>32.1</v>
      </c>
      <c r="F63">
        <v>1.7</v>
      </c>
      <c r="G63">
        <v>2.2999999999999998</v>
      </c>
      <c r="H63">
        <v>5.0999999999999996</v>
      </c>
    </row>
    <row r="64" spans="1:8">
      <c r="A64" t="s">
        <v>67</v>
      </c>
      <c r="B64">
        <v>6.8</v>
      </c>
      <c r="C64">
        <v>105.6</v>
      </c>
      <c r="D64">
        <v>140.69999999999999</v>
      </c>
      <c r="E64">
        <v>44.8</v>
      </c>
      <c r="F64">
        <v>2.1</v>
      </c>
      <c r="G64">
        <v>2.7</v>
      </c>
      <c r="H64">
        <v>6.9</v>
      </c>
    </row>
    <row r="65" spans="1:8">
      <c r="A65" t="s">
        <v>68</v>
      </c>
      <c r="B65">
        <v>6.9</v>
      </c>
      <c r="C65">
        <v>133.30000000000001</v>
      </c>
      <c r="D65">
        <v>176.4</v>
      </c>
      <c r="E65">
        <v>47.5</v>
      </c>
      <c r="F65">
        <v>2.2999999999999998</v>
      </c>
      <c r="G65">
        <v>2.9</v>
      </c>
      <c r="H65">
        <v>7</v>
      </c>
    </row>
    <row r="66" spans="1:8">
      <c r="A66" t="s">
        <v>69</v>
      </c>
      <c r="B66">
        <v>7.9</v>
      </c>
      <c r="C66">
        <v>166</v>
      </c>
      <c r="D66">
        <v>212.3</v>
      </c>
      <c r="E66">
        <v>58.6</v>
      </c>
      <c r="F66">
        <v>2.5</v>
      </c>
      <c r="G66">
        <v>3.2</v>
      </c>
      <c r="H66">
        <v>8</v>
      </c>
    </row>
    <row r="67" spans="1:8">
      <c r="A67" t="s">
        <v>70</v>
      </c>
      <c r="B67">
        <v>8.1999999999999993</v>
      </c>
      <c r="C67">
        <v>182.1</v>
      </c>
      <c r="D67">
        <v>244.4</v>
      </c>
      <c r="E67">
        <v>65.2</v>
      </c>
      <c r="F67">
        <v>2.6</v>
      </c>
      <c r="G67">
        <v>3.2</v>
      </c>
      <c r="H67">
        <v>8.3000000000000007</v>
      </c>
    </row>
    <row r="68" spans="1:8">
      <c r="A68" t="s">
        <v>71</v>
      </c>
      <c r="B68">
        <v>12.2</v>
      </c>
      <c r="C68">
        <v>538.5</v>
      </c>
      <c r="D68">
        <v>818.5</v>
      </c>
      <c r="E68">
        <v>118</v>
      </c>
      <c r="F68">
        <v>3.9</v>
      </c>
      <c r="G68">
        <v>4.5999999999999996</v>
      </c>
      <c r="H68">
        <v>12.3</v>
      </c>
    </row>
    <row r="69" spans="1:8">
      <c r="A69" t="s">
        <v>72</v>
      </c>
      <c r="B69">
        <v>13.1</v>
      </c>
      <c r="C69">
        <v>595</v>
      </c>
      <c r="D69">
        <v>904.5</v>
      </c>
      <c r="E69">
        <v>133.80000000000001</v>
      </c>
      <c r="F69">
        <v>4.3</v>
      </c>
      <c r="G69">
        <v>5</v>
      </c>
      <c r="H69">
        <v>13.1</v>
      </c>
    </row>
    <row r="70" spans="1:8">
      <c r="A70" t="s">
        <v>73</v>
      </c>
      <c r="B70">
        <v>19.3</v>
      </c>
      <c r="C70">
        <v>1600.4</v>
      </c>
      <c r="D70">
        <v>2714.7</v>
      </c>
      <c r="E70">
        <v>258</v>
      </c>
      <c r="F70">
        <v>5.8</v>
      </c>
      <c r="G70">
        <v>6.5</v>
      </c>
      <c r="H70">
        <v>19.399999999999999</v>
      </c>
    </row>
    <row r="71" spans="1:8">
      <c r="A71" t="s">
        <v>74</v>
      </c>
      <c r="B71">
        <v>18</v>
      </c>
      <c r="C71">
        <v>1439.1</v>
      </c>
      <c r="D71">
        <v>2459</v>
      </c>
      <c r="E71">
        <v>229.8</v>
      </c>
      <c r="F71">
        <v>5.2</v>
      </c>
      <c r="G71">
        <v>5.7</v>
      </c>
      <c r="H71">
        <v>18.100000000000001</v>
      </c>
    </row>
    <row r="72" spans="1:8">
      <c r="A72" t="s">
        <v>75</v>
      </c>
      <c r="B72">
        <v>30.3</v>
      </c>
      <c r="C72">
        <v>4097.8</v>
      </c>
      <c r="D72">
        <v>7189.5</v>
      </c>
      <c r="E72">
        <v>513</v>
      </c>
      <c r="F72">
        <v>8.5</v>
      </c>
      <c r="G72">
        <v>8.4</v>
      </c>
      <c r="H72">
        <v>30.5</v>
      </c>
    </row>
    <row r="73" spans="1:8">
      <c r="A73" t="s">
        <v>76</v>
      </c>
      <c r="B73">
        <v>31.6</v>
      </c>
      <c r="C73">
        <v>4427.3999999999996</v>
      </c>
      <c r="D73">
        <v>7852.1</v>
      </c>
      <c r="E73">
        <v>568.6</v>
      </c>
      <c r="F73">
        <v>7.9</v>
      </c>
      <c r="G73">
        <v>7.9</v>
      </c>
      <c r="H73">
        <v>31.8</v>
      </c>
    </row>
    <row r="74" spans="1:8">
      <c r="A74" t="s">
        <v>77</v>
      </c>
      <c r="B74">
        <v>46.9</v>
      </c>
      <c r="C74">
        <v>8184.5</v>
      </c>
      <c r="D74">
        <v>16304</v>
      </c>
      <c r="E74">
        <v>943.8</v>
      </c>
      <c r="F74">
        <v>11.8</v>
      </c>
      <c r="G74">
        <v>11.2</v>
      </c>
      <c r="H74">
        <v>47.2</v>
      </c>
    </row>
    <row r="75" spans="1:8">
      <c r="A75" t="s">
        <v>78</v>
      </c>
      <c r="B75">
        <v>53.1</v>
      </c>
      <c r="C75">
        <v>11129</v>
      </c>
      <c r="D75">
        <v>21370.3</v>
      </c>
      <c r="E75">
        <v>1274</v>
      </c>
      <c r="F75">
        <v>14.3</v>
      </c>
      <c r="G75">
        <v>13.1</v>
      </c>
      <c r="H75">
        <v>53.4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5BFC-CF43-4CDC-9529-C65B2F7F7FEC}">
  <dimension ref="A2:AB106"/>
  <sheetViews>
    <sheetView topLeftCell="A40" workbookViewId="0">
      <selection activeCell="K80" sqref="K80"/>
    </sheetView>
  </sheetViews>
  <sheetFormatPr defaultColWidth="9" defaultRowHeight="14"/>
  <sheetData>
    <row r="2" spans="1:16">
      <c r="B2" s="27" t="s">
        <v>87</v>
      </c>
      <c r="C2" s="27"/>
      <c r="D2" s="27"/>
      <c r="F2" s="27" t="s">
        <v>88</v>
      </c>
      <c r="G2" s="27"/>
      <c r="H2" s="27"/>
    </row>
    <row r="3" spans="1:16">
      <c r="B3" t="s">
        <v>3</v>
      </c>
      <c r="C3" t="s">
        <v>4</v>
      </c>
      <c r="D3" t="s">
        <v>5</v>
      </c>
      <c r="F3" t="s">
        <v>3</v>
      </c>
      <c r="G3" t="s">
        <v>4</v>
      </c>
      <c r="H3" t="s">
        <v>5</v>
      </c>
    </row>
    <row r="4" spans="1:16">
      <c r="A4" t="s">
        <v>7</v>
      </c>
      <c r="B4">
        <v>5441.25</v>
      </c>
      <c r="C4">
        <v>5441.25</v>
      </c>
      <c r="D4">
        <v>8.76</v>
      </c>
      <c r="F4">
        <v>5441.25</v>
      </c>
      <c r="G4">
        <v>5441.25</v>
      </c>
      <c r="H4">
        <v>8.89</v>
      </c>
      <c r="J4">
        <f>IF(B4&lt;F4,1,0)</f>
        <v>0</v>
      </c>
      <c r="K4">
        <f>IF(B4=F4,1,0)</f>
        <v>1</v>
      </c>
      <c r="L4">
        <f>IF(B4&gt;F4,1,0)</f>
        <v>0</v>
      </c>
      <c r="N4">
        <f>IF(C4&lt;G4,1,0)</f>
        <v>0</v>
      </c>
      <c r="O4">
        <f>IF(C4=G4,1,0)</f>
        <v>1</v>
      </c>
      <c r="P4">
        <f>IF(C4&gt;G4,1,0)</f>
        <v>0</v>
      </c>
    </row>
    <row r="5" spans="1:16">
      <c r="A5" t="s">
        <v>8</v>
      </c>
      <c r="B5">
        <v>7533.59</v>
      </c>
      <c r="C5">
        <v>7533.59</v>
      </c>
      <c r="D5">
        <v>2.09</v>
      </c>
      <c r="F5">
        <v>7502.69</v>
      </c>
      <c r="G5">
        <v>7502.69</v>
      </c>
      <c r="H5">
        <v>347.61</v>
      </c>
      <c r="J5">
        <f t="shared" ref="J5:J68" si="0">IF(B5&lt;F5,1,0)</f>
        <v>0</v>
      </c>
      <c r="K5">
        <f t="shared" ref="K5:K68" si="1">IF(B5=F5,1,0)</f>
        <v>0</v>
      </c>
      <c r="L5">
        <f t="shared" ref="L5:L68" si="2">IF(B5&gt;F5,1,0)</f>
        <v>1</v>
      </c>
      <c r="N5">
        <f t="shared" ref="N5:N68" si="3">IF(C5&lt;G5,1,0)</f>
        <v>0</v>
      </c>
      <c r="O5">
        <f t="shared" ref="O5:O68" si="4">IF(C5=G5,1,0)</f>
        <v>0</v>
      </c>
      <c r="P5" s="3">
        <f t="shared" ref="P5:P68" si="5">IF(C5&gt;G5,1,0)</f>
        <v>1</v>
      </c>
    </row>
    <row r="6" spans="1:16">
      <c r="A6" t="s">
        <v>9</v>
      </c>
      <c r="B6">
        <v>10019</v>
      </c>
      <c r="C6">
        <v>10019</v>
      </c>
      <c r="D6">
        <v>14.54</v>
      </c>
      <c r="F6">
        <v>10019</v>
      </c>
      <c r="G6">
        <v>10019</v>
      </c>
      <c r="H6">
        <v>28.93</v>
      </c>
      <c r="J6">
        <f t="shared" si="0"/>
        <v>0</v>
      </c>
      <c r="K6">
        <f t="shared" si="1"/>
        <v>1</v>
      </c>
      <c r="L6">
        <f t="shared" si="2"/>
        <v>0</v>
      </c>
      <c r="N6">
        <f t="shared" si="3"/>
        <v>0</v>
      </c>
      <c r="O6">
        <f t="shared" si="4"/>
        <v>1</v>
      </c>
      <c r="P6">
        <f t="shared" si="5"/>
        <v>0</v>
      </c>
    </row>
    <row r="7" spans="1:16">
      <c r="A7" t="s">
        <v>10</v>
      </c>
      <c r="B7">
        <v>13226.2</v>
      </c>
      <c r="C7">
        <v>13226.2</v>
      </c>
      <c r="D7">
        <v>42.53</v>
      </c>
      <c r="F7">
        <v>13226.2</v>
      </c>
      <c r="G7">
        <v>13226.2</v>
      </c>
      <c r="H7">
        <v>38.72</v>
      </c>
      <c r="J7">
        <f t="shared" si="0"/>
        <v>0</v>
      </c>
      <c r="K7">
        <f t="shared" si="1"/>
        <v>1</v>
      </c>
      <c r="L7">
        <f t="shared" si="2"/>
        <v>0</v>
      </c>
      <c r="N7">
        <f t="shared" si="3"/>
        <v>0</v>
      </c>
      <c r="O7">
        <f t="shared" si="4"/>
        <v>1</v>
      </c>
      <c r="P7">
        <f t="shared" si="5"/>
        <v>0</v>
      </c>
    </row>
    <row r="8" spans="1:16">
      <c r="A8" t="s">
        <v>11</v>
      </c>
      <c r="B8">
        <v>17695</v>
      </c>
      <c r="C8">
        <v>17695</v>
      </c>
      <c r="D8">
        <v>128.78</v>
      </c>
      <c r="F8">
        <v>17695</v>
      </c>
      <c r="G8">
        <v>17695</v>
      </c>
      <c r="H8">
        <v>99.4</v>
      </c>
      <c r="J8">
        <f t="shared" si="0"/>
        <v>0</v>
      </c>
      <c r="K8">
        <f t="shared" si="1"/>
        <v>1</v>
      </c>
      <c r="L8">
        <f t="shared" si="2"/>
        <v>0</v>
      </c>
      <c r="N8">
        <f t="shared" si="3"/>
        <v>0</v>
      </c>
      <c r="O8">
        <f t="shared" si="4"/>
        <v>1</v>
      </c>
      <c r="P8">
        <f t="shared" si="5"/>
        <v>0</v>
      </c>
    </row>
    <row r="9" spans="1:16">
      <c r="A9" t="s">
        <v>12</v>
      </c>
      <c r="B9">
        <v>17805.75</v>
      </c>
      <c r="C9">
        <v>17805.75</v>
      </c>
      <c r="D9">
        <v>176.61</v>
      </c>
      <c r="F9">
        <v>17805.75</v>
      </c>
      <c r="G9">
        <v>17805.75</v>
      </c>
      <c r="H9">
        <v>371.38</v>
      </c>
      <c r="J9">
        <f t="shared" si="0"/>
        <v>0</v>
      </c>
      <c r="K9">
        <f t="shared" si="1"/>
        <v>1</v>
      </c>
      <c r="L9">
        <f t="shared" si="2"/>
        <v>0</v>
      </c>
      <c r="N9">
        <f t="shared" si="3"/>
        <v>0</v>
      </c>
      <c r="O9">
        <f t="shared" si="4"/>
        <v>1</v>
      </c>
      <c r="P9">
        <f t="shared" si="5"/>
        <v>0</v>
      </c>
    </row>
    <row r="10" spans="1:16">
      <c r="A10" t="s">
        <v>13</v>
      </c>
      <c r="B10">
        <v>70463.509999999995</v>
      </c>
      <c r="C10">
        <v>70464.31</v>
      </c>
      <c r="D10">
        <v>968.3</v>
      </c>
      <c r="F10">
        <v>70463.199999999997</v>
      </c>
      <c r="G10">
        <v>70464.89</v>
      </c>
      <c r="H10">
        <v>608.46</v>
      </c>
      <c r="J10">
        <f t="shared" si="0"/>
        <v>0</v>
      </c>
      <c r="K10">
        <f t="shared" si="1"/>
        <v>0</v>
      </c>
      <c r="L10">
        <f t="shared" si="2"/>
        <v>1</v>
      </c>
      <c r="N10">
        <f t="shared" si="3"/>
        <v>1</v>
      </c>
      <c r="O10">
        <f t="shared" si="4"/>
        <v>0</v>
      </c>
      <c r="P10" s="3">
        <f t="shared" si="5"/>
        <v>0</v>
      </c>
    </row>
    <row r="11" spans="1:16">
      <c r="A11" t="s">
        <v>14</v>
      </c>
      <c r="B11">
        <v>35221.33</v>
      </c>
      <c r="C11">
        <v>35222.379999999997</v>
      </c>
      <c r="D11">
        <v>1192.27</v>
      </c>
      <c r="F11">
        <v>35221.33</v>
      </c>
      <c r="G11">
        <v>35222.589999999997</v>
      </c>
      <c r="H11">
        <v>1239.97</v>
      </c>
      <c r="J11">
        <f t="shared" si="0"/>
        <v>0</v>
      </c>
      <c r="K11">
        <f t="shared" si="1"/>
        <v>1</v>
      </c>
      <c r="L11">
        <f t="shared" si="2"/>
        <v>0</v>
      </c>
      <c r="N11">
        <f t="shared" si="3"/>
        <v>1</v>
      </c>
      <c r="O11">
        <f t="shared" si="4"/>
        <v>0</v>
      </c>
      <c r="P11">
        <f t="shared" si="5"/>
        <v>0</v>
      </c>
    </row>
    <row r="12" spans="1:16">
      <c r="A12" t="s">
        <v>15</v>
      </c>
      <c r="B12">
        <v>65003.48</v>
      </c>
      <c r="C12">
        <v>65003.48</v>
      </c>
      <c r="D12">
        <v>304.02</v>
      </c>
      <c r="F12">
        <v>65003.48</v>
      </c>
      <c r="G12">
        <v>65003.54</v>
      </c>
      <c r="H12">
        <v>852.85</v>
      </c>
      <c r="J12">
        <f t="shared" si="0"/>
        <v>0</v>
      </c>
      <c r="K12">
        <f t="shared" si="1"/>
        <v>1</v>
      </c>
      <c r="L12" s="3">
        <f t="shared" si="2"/>
        <v>0</v>
      </c>
      <c r="N12">
        <f t="shared" si="3"/>
        <v>1</v>
      </c>
      <c r="O12">
        <f t="shared" si="4"/>
        <v>0</v>
      </c>
      <c r="P12">
        <f t="shared" si="5"/>
        <v>0</v>
      </c>
    </row>
    <row r="13" spans="1:16">
      <c r="A13" t="s">
        <v>16</v>
      </c>
      <c r="B13" s="14">
        <v>63293.84</v>
      </c>
      <c r="C13" s="14">
        <v>63297.9</v>
      </c>
      <c r="D13" s="14">
        <v>829.87</v>
      </c>
      <c r="F13">
        <v>63293.84</v>
      </c>
      <c r="G13">
        <v>63299.86</v>
      </c>
      <c r="H13">
        <v>1167.97</v>
      </c>
      <c r="J13">
        <f t="shared" si="0"/>
        <v>0</v>
      </c>
      <c r="K13">
        <f t="shared" si="1"/>
        <v>1</v>
      </c>
      <c r="L13">
        <f t="shared" si="2"/>
        <v>0</v>
      </c>
      <c r="N13">
        <f t="shared" si="3"/>
        <v>1</v>
      </c>
      <c r="O13">
        <f t="shared" si="4"/>
        <v>0</v>
      </c>
      <c r="P13">
        <f t="shared" si="5"/>
        <v>0</v>
      </c>
    </row>
    <row r="14" spans="1:16">
      <c r="A14" t="s">
        <v>17</v>
      </c>
      <c r="B14">
        <v>53201.45</v>
      </c>
      <c r="C14">
        <v>53207.38</v>
      </c>
      <c r="D14">
        <v>1145.47</v>
      </c>
      <c r="F14">
        <v>53205.04</v>
      </c>
      <c r="G14">
        <v>53209.78</v>
      </c>
      <c r="H14">
        <v>1320.19</v>
      </c>
      <c r="J14">
        <f t="shared" si="0"/>
        <v>1</v>
      </c>
      <c r="K14">
        <f t="shared" si="1"/>
        <v>0</v>
      </c>
      <c r="L14">
        <f t="shared" si="2"/>
        <v>0</v>
      </c>
      <c r="N14">
        <f t="shared" si="3"/>
        <v>1</v>
      </c>
      <c r="O14">
        <f t="shared" si="4"/>
        <v>0</v>
      </c>
      <c r="P14">
        <f t="shared" si="5"/>
        <v>0</v>
      </c>
    </row>
    <row r="15" spans="1:16">
      <c r="A15" t="s">
        <v>18</v>
      </c>
      <c r="B15">
        <v>61352.43</v>
      </c>
      <c r="C15">
        <v>61359.5</v>
      </c>
      <c r="D15">
        <v>1062.79</v>
      </c>
      <c r="F15">
        <v>61353.87</v>
      </c>
      <c r="G15">
        <v>61369.19</v>
      </c>
      <c r="H15">
        <v>1393.86</v>
      </c>
      <c r="J15">
        <f t="shared" si="0"/>
        <v>1</v>
      </c>
      <c r="K15">
        <f t="shared" si="1"/>
        <v>0</v>
      </c>
      <c r="L15">
        <f t="shared" si="2"/>
        <v>0</v>
      </c>
      <c r="N15">
        <f t="shared" si="3"/>
        <v>1</v>
      </c>
      <c r="O15">
        <f t="shared" si="4"/>
        <v>0</v>
      </c>
      <c r="P15">
        <f t="shared" si="5"/>
        <v>0</v>
      </c>
    </row>
    <row r="16" spans="1:16">
      <c r="A16" t="s">
        <v>19</v>
      </c>
      <c r="B16">
        <v>88253.35</v>
      </c>
      <c r="C16">
        <v>88419.96</v>
      </c>
      <c r="D16">
        <v>1475.47</v>
      </c>
      <c r="F16">
        <v>88328.54</v>
      </c>
      <c r="G16">
        <v>88487.41</v>
      </c>
      <c r="H16">
        <v>1527.75</v>
      </c>
      <c r="J16">
        <f t="shared" si="0"/>
        <v>1</v>
      </c>
      <c r="K16">
        <f t="shared" si="1"/>
        <v>0</v>
      </c>
      <c r="L16">
        <f t="shared" si="2"/>
        <v>0</v>
      </c>
      <c r="N16">
        <f t="shared" si="3"/>
        <v>1</v>
      </c>
      <c r="O16">
        <f t="shared" si="4"/>
        <v>0</v>
      </c>
      <c r="P16">
        <f t="shared" si="5"/>
        <v>0</v>
      </c>
    </row>
    <row r="17" spans="1:16">
      <c r="A17" t="s">
        <v>20</v>
      </c>
      <c r="B17">
        <v>83443.56</v>
      </c>
      <c r="C17">
        <v>83487.839999999997</v>
      </c>
      <c r="D17">
        <v>1415.68</v>
      </c>
      <c r="F17">
        <v>83448.45</v>
      </c>
      <c r="G17">
        <v>83609.72</v>
      </c>
      <c r="H17">
        <v>1377.7</v>
      </c>
      <c r="J17">
        <f t="shared" si="0"/>
        <v>1</v>
      </c>
      <c r="K17">
        <f t="shared" si="1"/>
        <v>0</v>
      </c>
      <c r="L17">
        <f t="shared" si="2"/>
        <v>0</v>
      </c>
      <c r="N17">
        <f t="shared" si="3"/>
        <v>1</v>
      </c>
      <c r="O17">
        <f t="shared" si="4"/>
        <v>0</v>
      </c>
      <c r="P17">
        <f t="shared" si="5"/>
        <v>0</v>
      </c>
    </row>
    <row r="18" spans="1:16">
      <c r="A18" t="s">
        <v>21</v>
      </c>
      <c r="B18">
        <v>107222.34</v>
      </c>
      <c r="C18">
        <v>107306.55</v>
      </c>
      <c r="D18">
        <v>1623.5</v>
      </c>
      <c r="F18">
        <v>107178.71</v>
      </c>
      <c r="G18">
        <v>107518.51</v>
      </c>
      <c r="H18">
        <v>1227.49</v>
      </c>
      <c r="J18">
        <f t="shared" si="0"/>
        <v>0</v>
      </c>
      <c r="K18">
        <f t="shared" si="1"/>
        <v>0</v>
      </c>
      <c r="L18">
        <f t="shared" si="2"/>
        <v>1</v>
      </c>
      <c r="N18">
        <f t="shared" si="3"/>
        <v>1</v>
      </c>
      <c r="O18">
        <f t="shared" si="4"/>
        <v>0</v>
      </c>
      <c r="P18">
        <f t="shared" si="5"/>
        <v>0</v>
      </c>
    </row>
    <row r="19" spans="1:16">
      <c r="A19" t="s">
        <v>22</v>
      </c>
      <c r="B19">
        <v>118623.58</v>
      </c>
      <c r="C19">
        <v>118892.14</v>
      </c>
      <c r="D19">
        <v>1577.57</v>
      </c>
      <c r="F19">
        <v>118720.79</v>
      </c>
      <c r="G19">
        <v>118914.65</v>
      </c>
      <c r="H19">
        <v>1657.16</v>
      </c>
      <c r="J19">
        <f t="shared" si="0"/>
        <v>1</v>
      </c>
      <c r="K19">
        <f t="shared" si="1"/>
        <v>0</v>
      </c>
      <c r="L19">
        <f t="shared" si="2"/>
        <v>0</v>
      </c>
      <c r="N19">
        <f t="shared" si="3"/>
        <v>1</v>
      </c>
      <c r="O19">
        <f t="shared" si="4"/>
        <v>0</v>
      </c>
      <c r="P19">
        <f t="shared" si="5"/>
        <v>0</v>
      </c>
    </row>
    <row r="20" spans="1:16">
      <c r="A20" t="s">
        <v>23</v>
      </c>
      <c r="B20">
        <v>259656.7</v>
      </c>
      <c r="C20">
        <v>259869.59</v>
      </c>
      <c r="D20">
        <v>1653.67</v>
      </c>
      <c r="F20">
        <v>259887.86</v>
      </c>
      <c r="G20">
        <v>260024.56</v>
      </c>
      <c r="H20">
        <v>1112.7</v>
      </c>
      <c r="J20">
        <f t="shared" si="0"/>
        <v>1</v>
      </c>
      <c r="K20">
        <f t="shared" si="1"/>
        <v>0</v>
      </c>
      <c r="L20" s="3">
        <f t="shared" si="2"/>
        <v>0</v>
      </c>
      <c r="N20">
        <f t="shared" si="3"/>
        <v>1</v>
      </c>
      <c r="O20">
        <f t="shared" si="4"/>
        <v>0</v>
      </c>
      <c r="P20">
        <f t="shared" si="5"/>
        <v>0</v>
      </c>
    </row>
    <row r="21" spans="1:16">
      <c r="A21" t="s">
        <v>24</v>
      </c>
      <c r="B21">
        <v>168321.2</v>
      </c>
      <c r="C21">
        <v>168378.93</v>
      </c>
      <c r="D21">
        <v>1522.26</v>
      </c>
      <c r="F21">
        <v>168457.97</v>
      </c>
      <c r="G21">
        <v>168562.51</v>
      </c>
      <c r="H21">
        <v>1654.92</v>
      </c>
      <c r="J21">
        <f t="shared" si="0"/>
        <v>1</v>
      </c>
      <c r="K21">
        <f t="shared" si="1"/>
        <v>0</v>
      </c>
      <c r="L21">
        <f t="shared" si="2"/>
        <v>0</v>
      </c>
      <c r="N21">
        <f t="shared" si="3"/>
        <v>1</v>
      </c>
      <c r="O21">
        <f t="shared" si="4"/>
        <v>0</v>
      </c>
      <c r="P21">
        <f t="shared" si="5"/>
        <v>0</v>
      </c>
    </row>
    <row r="22" spans="1:16">
      <c r="A22" t="s">
        <v>25</v>
      </c>
      <c r="B22">
        <v>256174.84</v>
      </c>
      <c r="C22">
        <v>256684.28</v>
      </c>
      <c r="D22">
        <v>1603.11</v>
      </c>
      <c r="F22">
        <v>258155.7</v>
      </c>
      <c r="G22">
        <v>258598.65</v>
      </c>
      <c r="H22">
        <v>254.75</v>
      </c>
      <c r="J22">
        <f t="shared" si="0"/>
        <v>1</v>
      </c>
      <c r="K22">
        <f t="shared" si="1"/>
        <v>0</v>
      </c>
      <c r="L22">
        <f t="shared" si="2"/>
        <v>0</v>
      </c>
      <c r="N22">
        <f t="shared" si="3"/>
        <v>1</v>
      </c>
      <c r="O22">
        <f t="shared" si="4"/>
        <v>0</v>
      </c>
      <c r="P22">
        <f t="shared" si="5"/>
        <v>0</v>
      </c>
    </row>
    <row r="23" spans="1:16">
      <c r="A23" t="s">
        <v>26</v>
      </c>
      <c r="B23">
        <v>258497.09</v>
      </c>
      <c r="C23">
        <v>258632.3</v>
      </c>
      <c r="D23">
        <v>1644.68</v>
      </c>
      <c r="F23">
        <v>259178.1</v>
      </c>
      <c r="G23">
        <v>259892.55</v>
      </c>
      <c r="H23">
        <v>1258.06</v>
      </c>
      <c r="J23">
        <f t="shared" si="0"/>
        <v>1</v>
      </c>
      <c r="K23">
        <f t="shared" si="1"/>
        <v>0</v>
      </c>
      <c r="L23">
        <f t="shared" si="2"/>
        <v>0</v>
      </c>
      <c r="N23">
        <f t="shared" si="3"/>
        <v>1</v>
      </c>
      <c r="O23">
        <f t="shared" si="4"/>
        <v>0</v>
      </c>
      <c r="P23">
        <f t="shared" si="5"/>
        <v>0</v>
      </c>
    </row>
    <row r="24" spans="1:16">
      <c r="A24" t="s">
        <v>27</v>
      </c>
      <c r="B24">
        <v>554099.42000000004</v>
      </c>
      <c r="C24">
        <v>554848.92000000004</v>
      </c>
      <c r="D24">
        <v>1300.46</v>
      </c>
      <c r="F24">
        <v>555421.94999999995</v>
      </c>
      <c r="G24">
        <v>555635.17000000004</v>
      </c>
      <c r="H24">
        <v>91.44</v>
      </c>
      <c r="J24">
        <f t="shared" si="0"/>
        <v>1</v>
      </c>
      <c r="K24">
        <f t="shared" si="1"/>
        <v>0</v>
      </c>
      <c r="L24">
        <f t="shared" si="2"/>
        <v>0</v>
      </c>
      <c r="N24">
        <f t="shared" si="3"/>
        <v>1</v>
      </c>
      <c r="O24">
        <f t="shared" si="4"/>
        <v>0</v>
      </c>
      <c r="P24">
        <f t="shared" si="5"/>
        <v>0</v>
      </c>
    </row>
    <row r="25" spans="1:16">
      <c r="A25" t="s">
        <v>28</v>
      </c>
      <c r="B25">
        <v>373005.98</v>
      </c>
      <c r="C25">
        <v>374262.99</v>
      </c>
      <c r="D25">
        <v>1365.15</v>
      </c>
      <c r="F25">
        <v>375539.94</v>
      </c>
      <c r="G25">
        <v>377004.28</v>
      </c>
      <c r="H25">
        <v>112.47</v>
      </c>
      <c r="J25">
        <f t="shared" si="0"/>
        <v>1</v>
      </c>
      <c r="K25">
        <f t="shared" si="1"/>
        <v>0</v>
      </c>
      <c r="L25">
        <f t="shared" si="2"/>
        <v>0</v>
      </c>
      <c r="N25">
        <f t="shared" si="3"/>
        <v>1</v>
      </c>
      <c r="O25">
        <f t="shared" si="4"/>
        <v>0</v>
      </c>
      <c r="P25">
        <f t="shared" si="5"/>
        <v>0</v>
      </c>
    </row>
    <row r="26" spans="1:16">
      <c r="A26" t="s">
        <v>29</v>
      </c>
      <c r="B26">
        <v>773276.74</v>
      </c>
      <c r="C26">
        <v>774292.47</v>
      </c>
      <c r="D26">
        <v>620.95000000000005</v>
      </c>
      <c r="F26">
        <v>773788.76</v>
      </c>
      <c r="G26">
        <v>774697.99</v>
      </c>
      <c r="H26">
        <v>249.26</v>
      </c>
      <c r="J26">
        <f t="shared" si="0"/>
        <v>1</v>
      </c>
      <c r="K26">
        <f t="shared" si="1"/>
        <v>0</v>
      </c>
      <c r="L26">
        <f t="shared" si="2"/>
        <v>0</v>
      </c>
      <c r="N26">
        <f t="shared" si="3"/>
        <v>1</v>
      </c>
      <c r="O26">
        <f t="shared" si="4"/>
        <v>0</v>
      </c>
      <c r="P26">
        <f t="shared" si="5"/>
        <v>0</v>
      </c>
    </row>
    <row r="27" spans="1:16">
      <c r="A27" t="s">
        <v>30</v>
      </c>
      <c r="B27">
        <v>749159.93</v>
      </c>
      <c r="C27">
        <v>751312.57</v>
      </c>
      <c r="D27">
        <v>1347.21</v>
      </c>
      <c r="F27">
        <v>753870.71</v>
      </c>
      <c r="G27">
        <v>755046.35</v>
      </c>
      <c r="H27">
        <v>577.02</v>
      </c>
      <c r="J27">
        <f t="shared" si="0"/>
        <v>1</v>
      </c>
      <c r="K27">
        <f t="shared" si="1"/>
        <v>0</v>
      </c>
      <c r="L27">
        <f t="shared" si="2"/>
        <v>0</v>
      </c>
      <c r="N27">
        <f t="shared" si="3"/>
        <v>1</v>
      </c>
      <c r="O27">
        <f t="shared" si="4"/>
        <v>0</v>
      </c>
      <c r="P27">
        <f t="shared" si="5"/>
        <v>0</v>
      </c>
    </row>
    <row r="28" spans="1:16">
      <c r="A28" t="s">
        <v>7</v>
      </c>
      <c r="B28">
        <v>17588.009999999998</v>
      </c>
      <c r="C28">
        <v>17588.009999999998</v>
      </c>
      <c r="D28">
        <v>24.11</v>
      </c>
      <c r="F28">
        <v>17588.009999999998</v>
      </c>
      <c r="G28">
        <v>17588.009999999998</v>
      </c>
      <c r="H28">
        <v>42.37</v>
      </c>
      <c r="J28">
        <f t="shared" si="0"/>
        <v>0</v>
      </c>
      <c r="K28">
        <f t="shared" si="1"/>
        <v>1</v>
      </c>
      <c r="L28">
        <f t="shared" si="2"/>
        <v>0</v>
      </c>
      <c r="N28">
        <f t="shared" si="3"/>
        <v>0</v>
      </c>
      <c r="O28">
        <f t="shared" si="4"/>
        <v>1</v>
      </c>
      <c r="P28">
        <f t="shared" si="5"/>
        <v>0</v>
      </c>
    </row>
    <row r="29" spans="1:16">
      <c r="A29" t="s">
        <v>8</v>
      </c>
      <c r="B29">
        <v>24588.2</v>
      </c>
      <c r="C29">
        <v>24588.2</v>
      </c>
      <c r="D29">
        <v>5.91</v>
      </c>
      <c r="F29">
        <v>24588.2</v>
      </c>
      <c r="G29">
        <v>24588.2</v>
      </c>
      <c r="H29">
        <v>20.079999999999998</v>
      </c>
      <c r="J29">
        <f t="shared" si="0"/>
        <v>0</v>
      </c>
      <c r="K29">
        <f t="shared" si="1"/>
        <v>1</v>
      </c>
      <c r="L29">
        <f t="shared" si="2"/>
        <v>0</v>
      </c>
      <c r="N29">
        <f t="shared" si="3"/>
        <v>0</v>
      </c>
      <c r="O29">
        <f t="shared" si="4"/>
        <v>1</v>
      </c>
      <c r="P29">
        <f t="shared" si="5"/>
        <v>0</v>
      </c>
    </row>
    <row r="30" spans="1:16">
      <c r="A30" t="s">
        <v>9</v>
      </c>
      <c r="B30">
        <v>37798.25</v>
      </c>
      <c r="C30">
        <v>37798.93</v>
      </c>
      <c r="D30">
        <v>934.95</v>
      </c>
      <c r="F30">
        <v>37799.35</v>
      </c>
      <c r="G30">
        <v>37801.26</v>
      </c>
      <c r="H30">
        <v>1189.46</v>
      </c>
      <c r="J30">
        <f t="shared" si="0"/>
        <v>1</v>
      </c>
      <c r="K30">
        <f t="shared" si="1"/>
        <v>0</v>
      </c>
      <c r="L30">
        <f t="shared" si="2"/>
        <v>0</v>
      </c>
      <c r="N30">
        <f t="shared" si="3"/>
        <v>1</v>
      </c>
      <c r="O30">
        <f t="shared" si="4"/>
        <v>0</v>
      </c>
      <c r="P30">
        <f t="shared" si="5"/>
        <v>0</v>
      </c>
    </row>
    <row r="31" spans="1:16">
      <c r="A31" t="s">
        <v>10</v>
      </c>
      <c r="B31">
        <v>50542.02</v>
      </c>
      <c r="C31">
        <v>50549.05</v>
      </c>
      <c r="D31">
        <v>1161.5899999999999</v>
      </c>
      <c r="F31">
        <v>50542.02</v>
      </c>
      <c r="G31">
        <v>50557.37</v>
      </c>
      <c r="H31">
        <v>911.15</v>
      </c>
      <c r="J31">
        <f t="shared" si="0"/>
        <v>0</v>
      </c>
      <c r="K31">
        <f t="shared" si="1"/>
        <v>1</v>
      </c>
      <c r="L31">
        <f t="shared" si="2"/>
        <v>0</v>
      </c>
      <c r="N31">
        <f t="shared" si="3"/>
        <v>1</v>
      </c>
      <c r="O31">
        <f t="shared" si="4"/>
        <v>0</v>
      </c>
      <c r="P31">
        <f t="shared" si="5"/>
        <v>0</v>
      </c>
    </row>
    <row r="32" spans="1:16">
      <c r="A32" t="s">
        <v>11</v>
      </c>
      <c r="B32">
        <v>62467.74</v>
      </c>
      <c r="C32">
        <v>62470.96</v>
      </c>
      <c r="D32">
        <v>1096.6500000000001</v>
      </c>
      <c r="F32">
        <v>62468.6</v>
      </c>
      <c r="G32">
        <v>62474.78</v>
      </c>
      <c r="H32">
        <v>1420.75</v>
      </c>
      <c r="J32">
        <f t="shared" si="0"/>
        <v>1</v>
      </c>
      <c r="K32">
        <f t="shared" si="1"/>
        <v>0</v>
      </c>
      <c r="L32">
        <f t="shared" si="2"/>
        <v>0</v>
      </c>
      <c r="N32">
        <f t="shared" si="3"/>
        <v>1</v>
      </c>
      <c r="O32">
        <f t="shared" si="4"/>
        <v>0</v>
      </c>
      <c r="P32">
        <f t="shared" si="5"/>
        <v>0</v>
      </c>
    </row>
    <row r="33" spans="1:16">
      <c r="A33" t="s">
        <v>12</v>
      </c>
      <c r="B33">
        <v>67575.55</v>
      </c>
      <c r="C33">
        <v>67688.62</v>
      </c>
      <c r="D33">
        <v>919.69</v>
      </c>
      <c r="F33">
        <v>67568.929999999993</v>
      </c>
      <c r="G33">
        <v>67624.509999999995</v>
      </c>
      <c r="H33">
        <v>875.24</v>
      </c>
      <c r="J33">
        <f t="shared" si="0"/>
        <v>0</v>
      </c>
      <c r="K33">
        <f t="shared" si="1"/>
        <v>0</v>
      </c>
      <c r="L33" s="3">
        <f t="shared" si="2"/>
        <v>1</v>
      </c>
      <c r="N33">
        <f t="shared" si="3"/>
        <v>0</v>
      </c>
      <c r="O33">
        <f t="shared" si="4"/>
        <v>0</v>
      </c>
      <c r="P33">
        <f t="shared" si="5"/>
        <v>1</v>
      </c>
    </row>
    <row r="34" spans="1:16">
      <c r="A34" t="s">
        <v>13</v>
      </c>
      <c r="B34">
        <v>241551.04</v>
      </c>
      <c r="C34">
        <v>241605.58</v>
      </c>
      <c r="D34">
        <v>1094.73</v>
      </c>
      <c r="F34">
        <v>241551.16</v>
      </c>
      <c r="G34">
        <v>241574.56</v>
      </c>
      <c r="H34">
        <v>1259.5</v>
      </c>
      <c r="J34">
        <f t="shared" si="0"/>
        <v>1</v>
      </c>
      <c r="K34">
        <f t="shared" si="1"/>
        <v>0</v>
      </c>
      <c r="L34">
        <f t="shared" si="2"/>
        <v>0</v>
      </c>
      <c r="N34">
        <f t="shared" si="3"/>
        <v>0</v>
      </c>
      <c r="O34">
        <f t="shared" si="4"/>
        <v>0</v>
      </c>
      <c r="P34">
        <f t="shared" si="5"/>
        <v>1</v>
      </c>
    </row>
    <row r="35" spans="1:16">
      <c r="A35" t="s">
        <v>14</v>
      </c>
      <c r="B35">
        <v>114511.99</v>
      </c>
      <c r="C35">
        <v>114671.09</v>
      </c>
      <c r="D35">
        <v>1505.15</v>
      </c>
      <c r="F35">
        <v>114518.24</v>
      </c>
      <c r="G35">
        <v>114756.52</v>
      </c>
      <c r="H35">
        <v>1323.5</v>
      </c>
      <c r="J35">
        <f t="shared" si="0"/>
        <v>1</v>
      </c>
      <c r="K35">
        <f t="shared" si="1"/>
        <v>0</v>
      </c>
      <c r="L35">
        <f t="shared" si="2"/>
        <v>0</v>
      </c>
      <c r="N35">
        <f t="shared" si="3"/>
        <v>1</v>
      </c>
      <c r="O35">
        <f t="shared" si="4"/>
        <v>0</v>
      </c>
      <c r="P35">
        <f t="shared" si="5"/>
        <v>0</v>
      </c>
    </row>
    <row r="36" spans="1:16">
      <c r="A36" t="s">
        <v>15</v>
      </c>
      <c r="B36">
        <v>241918.34</v>
      </c>
      <c r="C36">
        <v>241992.26</v>
      </c>
      <c r="D36">
        <v>1234.6099999999999</v>
      </c>
      <c r="F36">
        <v>241932.41</v>
      </c>
      <c r="G36">
        <v>242022.92</v>
      </c>
      <c r="H36">
        <v>1420.69</v>
      </c>
      <c r="J36">
        <f t="shared" si="0"/>
        <v>1</v>
      </c>
      <c r="K36">
        <f t="shared" si="1"/>
        <v>0</v>
      </c>
      <c r="L36">
        <f t="shared" si="2"/>
        <v>0</v>
      </c>
      <c r="N36">
        <f t="shared" si="3"/>
        <v>1</v>
      </c>
      <c r="O36">
        <f t="shared" si="4"/>
        <v>0</v>
      </c>
      <c r="P36">
        <f t="shared" si="5"/>
        <v>0</v>
      </c>
    </row>
    <row r="37" spans="1:16">
      <c r="A37" t="s">
        <v>16</v>
      </c>
      <c r="B37">
        <v>195827.52</v>
      </c>
      <c r="C37">
        <v>196148.55</v>
      </c>
      <c r="D37">
        <v>1159.56</v>
      </c>
      <c r="F37">
        <v>195867.53</v>
      </c>
      <c r="G37">
        <v>196098.94</v>
      </c>
      <c r="H37">
        <v>1583.24</v>
      </c>
      <c r="J37">
        <f t="shared" si="0"/>
        <v>1</v>
      </c>
      <c r="K37">
        <f t="shared" si="1"/>
        <v>0</v>
      </c>
      <c r="L37">
        <f t="shared" si="2"/>
        <v>0</v>
      </c>
      <c r="N37">
        <f t="shared" si="3"/>
        <v>0</v>
      </c>
      <c r="O37">
        <f t="shared" si="4"/>
        <v>0</v>
      </c>
      <c r="P37">
        <f t="shared" si="5"/>
        <v>1</v>
      </c>
    </row>
    <row r="38" spans="1:16">
      <c r="A38" t="s">
        <v>17</v>
      </c>
      <c r="B38">
        <v>194666.04</v>
      </c>
      <c r="C38">
        <v>194897.27</v>
      </c>
      <c r="D38">
        <v>1560.59</v>
      </c>
      <c r="F38">
        <v>194849.16</v>
      </c>
      <c r="G38">
        <v>195066.65</v>
      </c>
      <c r="H38">
        <v>1549.15</v>
      </c>
      <c r="J38">
        <f t="shared" si="0"/>
        <v>1</v>
      </c>
      <c r="K38">
        <f t="shared" si="1"/>
        <v>0</v>
      </c>
      <c r="L38">
        <f t="shared" si="2"/>
        <v>0</v>
      </c>
      <c r="N38">
        <f t="shared" si="3"/>
        <v>1</v>
      </c>
      <c r="O38">
        <f t="shared" si="4"/>
        <v>0</v>
      </c>
      <c r="P38">
        <f t="shared" si="5"/>
        <v>0</v>
      </c>
    </row>
    <row r="39" spans="1:16">
      <c r="A39" t="s">
        <v>18</v>
      </c>
      <c r="B39">
        <v>201236.17</v>
      </c>
      <c r="C39">
        <v>201479.97</v>
      </c>
      <c r="D39">
        <v>1418.54</v>
      </c>
      <c r="F39">
        <v>201457.33</v>
      </c>
      <c r="G39">
        <v>201716.08</v>
      </c>
      <c r="H39">
        <v>1542.08</v>
      </c>
      <c r="J39">
        <f t="shared" si="0"/>
        <v>1</v>
      </c>
      <c r="K39">
        <f t="shared" si="1"/>
        <v>0</v>
      </c>
      <c r="L39" s="3">
        <f t="shared" si="2"/>
        <v>0</v>
      </c>
      <c r="N39">
        <f t="shared" si="3"/>
        <v>1</v>
      </c>
      <c r="O39">
        <f t="shared" si="4"/>
        <v>0</v>
      </c>
      <c r="P39">
        <f t="shared" si="5"/>
        <v>0</v>
      </c>
    </row>
    <row r="40" spans="1:16">
      <c r="A40" t="s">
        <v>19</v>
      </c>
      <c r="B40">
        <v>305978.94</v>
      </c>
      <c r="C40">
        <v>306277.37</v>
      </c>
      <c r="D40">
        <v>1495.4</v>
      </c>
      <c r="F40">
        <v>306391.46000000002</v>
      </c>
      <c r="G40">
        <v>306659.86</v>
      </c>
      <c r="H40">
        <v>1592.1</v>
      </c>
      <c r="J40">
        <f t="shared" si="0"/>
        <v>1</v>
      </c>
      <c r="K40">
        <f t="shared" si="1"/>
        <v>0</v>
      </c>
      <c r="L40">
        <f t="shared" si="2"/>
        <v>0</v>
      </c>
      <c r="N40">
        <f t="shared" si="3"/>
        <v>1</v>
      </c>
      <c r="O40">
        <f t="shared" si="4"/>
        <v>0</v>
      </c>
      <c r="P40">
        <f t="shared" si="5"/>
        <v>0</v>
      </c>
    </row>
    <row r="41" spans="1:16">
      <c r="A41" t="s">
        <v>20</v>
      </c>
      <c r="B41">
        <v>268297.15000000002</v>
      </c>
      <c r="C41">
        <v>268486.71000000002</v>
      </c>
      <c r="D41">
        <v>1498.86</v>
      </c>
      <c r="F41">
        <v>268651.37</v>
      </c>
      <c r="G41">
        <v>269326.49</v>
      </c>
      <c r="H41">
        <v>1551.07</v>
      </c>
      <c r="J41">
        <f t="shared" si="0"/>
        <v>1</v>
      </c>
      <c r="K41">
        <f t="shared" si="1"/>
        <v>0</v>
      </c>
      <c r="L41">
        <f t="shared" si="2"/>
        <v>0</v>
      </c>
      <c r="N41">
        <f t="shared" si="3"/>
        <v>1</v>
      </c>
      <c r="O41">
        <f t="shared" si="4"/>
        <v>0</v>
      </c>
      <c r="P41">
        <f t="shared" si="5"/>
        <v>0</v>
      </c>
    </row>
    <row r="42" spans="1:16">
      <c r="A42" t="s">
        <v>21</v>
      </c>
      <c r="B42">
        <v>347541.02</v>
      </c>
      <c r="C42">
        <v>347726.14</v>
      </c>
      <c r="D42">
        <v>1550.98</v>
      </c>
      <c r="F42">
        <v>348018.1</v>
      </c>
      <c r="G42">
        <v>348405.51</v>
      </c>
      <c r="H42">
        <v>1569.79</v>
      </c>
      <c r="J42">
        <f t="shared" si="0"/>
        <v>1</v>
      </c>
      <c r="K42">
        <f t="shared" si="1"/>
        <v>0</v>
      </c>
      <c r="L42">
        <f t="shared" si="2"/>
        <v>0</v>
      </c>
      <c r="N42">
        <f t="shared" si="3"/>
        <v>1</v>
      </c>
      <c r="O42">
        <f t="shared" si="4"/>
        <v>0</v>
      </c>
      <c r="P42">
        <f t="shared" si="5"/>
        <v>0</v>
      </c>
    </row>
    <row r="43" spans="1:16">
      <c r="A43" t="s">
        <v>22</v>
      </c>
      <c r="B43">
        <v>362918.37</v>
      </c>
      <c r="C43">
        <v>363447.92</v>
      </c>
      <c r="D43">
        <v>1524.87</v>
      </c>
      <c r="F43">
        <v>363951.48</v>
      </c>
      <c r="G43">
        <v>364917.83</v>
      </c>
      <c r="H43">
        <v>1302.55</v>
      </c>
      <c r="J43">
        <f t="shared" si="0"/>
        <v>1</v>
      </c>
      <c r="K43">
        <f t="shared" si="1"/>
        <v>0</v>
      </c>
      <c r="L43">
        <f t="shared" si="2"/>
        <v>0</v>
      </c>
      <c r="N43">
        <f t="shared" si="3"/>
        <v>1</v>
      </c>
      <c r="O43">
        <f t="shared" si="4"/>
        <v>0</v>
      </c>
      <c r="P43">
        <f t="shared" si="5"/>
        <v>0</v>
      </c>
    </row>
    <row r="44" spans="1:16">
      <c r="A44" t="s">
        <v>23</v>
      </c>
      <c r="B44">
        <v>831909.25</v>
      </c>
      <c r="C44">
        <v>832832.34</v>
      </c>
      <c r="D44">
        <v>1634.2</v>
      </c>
      <c r="F44">
        <v>833367.03</v>
      </c>
      <c r="G44">
        <v>833860.44</v>
      </c>
      <c r="H44">
        <v>1451.4</v>
      </c>
      <c r="J44">
        <f t="shared" si="0"/>
        <v>1</v>
      </c>
      <c r="K44">
        <f t="shared" si="1"/>
        <v>0</v>
      </c>
      <c r="L44">
        <f t="shared" si="2"/>
        <v>0</v>
      </c>
      <c r="N44">
        <f t="shared" si="3"/>
        <v>1</v>
      </c>
      <c r="O44">
        <f t="shared" si="4"/>
        <v>0</v>
      </c>
      <c r="P44">
        <f t="shared" si="5"/>
        <v>0</v>
      </c>
    </row>
    <row r="45" spans="1:16">
      <c r="A45" t="s">
        <v>24</v>
      </c>
      <c r="B45">
        <v>525307.88</v>
      </c>
      <c r="C45">
        <v>526001.26</v>
      </c>
      <c r="D45">
        <v>1458.18</v>
      </c>
      <c r="F45">
        <v>526992.68000000005</v>
      </c>
      <c r="G45">
        <v>527832.54</v>
      </c>
      <c r="H45">
        <v>1476.2</v>
      </c>
      <c r="J45">
        <f t="shared" si="0"/>
        <v>1</v>
      </c>
      <c r="K45">
        <f t="shared" si="1"/>
        <v>0</v>
      </c>
      <c r="L45">
        <f t="shared" si="2"/>
        <v>0</v>
      </c>
      <c r="N45">
        <f t="shared" si="3"/>
        <v>1</v>
      </c>
      <c r="O45">
        <f t="shared" si="4"/>
        <v>0</v>
      </c>
      <c r="P45">
        <f t="shared" si="5"/>
        <v>0</v>
      </c>
    </row>
    <row r="46" spans="1:16">
      <c r="A46" t="s">
        <v>25</v>
      </c>
      <c r="B46">
        <v>941062.9</v>
      </c>
      <c r="C46">
        <v>942626.92</v>
      </c>
      <c r="D46">
        <v>1549.87</v>
      </c>
      <c r="F46">
        <v>943574.94</v>
      </c>
      <c r="G46">
        <v>945226.48</v>
      </c>
      <c r="H46">
        <v>1168.29</v>
      </c>
      <c r="J46">
        <f t="shared" si="0"/>
        <v>1</v>
      </c>
      <c r="K46">
        <f t="shared" si="1"/>
        <v>0</v>
      </c>
      <c r="L46">
        <f t="shared" si="2"/>
        <v>0</v>
      </c>
      <c r="N46">
        <f t="shared" si="3"/>
        <v>1</v>
      </c>
      <c r="O46">
        <f t="shared" si="4"/>
        <v>0</v>
      </c>
      <c r="P46">
        <f t="shared" si="5"/>
        <v>0</v>
      </c>
    </row>
    <row r="47" spans="1:16">
      <c r="A47" t="s">
        <v>26</v>
      </c>
      <c r="B47">
        <v>854676.42</v>
      </c>
      <c r="C47">
        <v>855992.45</v>
      </c>
      <c r="D47">
        <v>1270.8399999999999</v>
      </c>
      <c r="F47">
        <v>858316.3</v>
      </c>
      <c r="G47">
        <v>860096.74</v>
      </c>
      <c r="H47">
        <v>1523.88</v>
      </c>
      <c r="J47">
        <f t="shared" si="0"/>
        <v>1</v>
      </c>
      <c r="K47">
        <f t="shared" si="1"/>
        <v>0</v>
      </c>
      <c r="L47">
        <f t="shared" si="2"/>
        <v>0</v>
      </c>
      <c r="N47">
        <f t="shared" si="3"/>
        <v>1</v>
      </c>
      <c r="O47">
        <f t="shared" si="4"/>
        <v>0</v>
      </c>
      <c r="P47">
        <f t="shared" si="5"/>
        <v>0</v>
      </c>
    </row>
    <row r="48" spans="1:16">
      <c r="A48" t="s">
        <v>27</v>
      </c>
      <c r="B48">
        <v>1821242.07</v>
      </c>
      <c r="C48">
        <v>1821761.9</v>
      </c>
      <c r="D48">
        <v>1352.98</v>
      </c>
      <c r="F48">
        <v>1823138.62</v>
      </c>
      <c r="G48">
        <v>1824179.78</v>
      </c>
      <c r="H48">
        <v>549.53</v>
      </c>
      <c r="J48">
        <f t="shared" si="0"/>
        <v>1</v>
      </c>
      <c r="K48">
        <f t="shared" si="1"/>
        <v>0</v>
      </c>
      <c r="L48">
        <f t="shared" si="2"/>
        <v>0</v>
      </c>
      <c r="N48">
        <f t="shared" si="3"/>
        <v>1</v>
      </c>
      <c r="O48">
        <f t="shared" si="4"/>
        <v>0</v>
      </c>
      <c r="P48">
        <f t="shared" si="5"/>
        <v>0</v>
      </c>
    </row>
    <row r="49" spans="1:16">
      <c r="A49" t="s">
        <v>28</v>
      </c>
      <c r="B49">
        <v>1337100.24</v>
      </c>
      <c r="C49">
        <v>1337628.8700000001</v>
      </c>
      <c r="D49">
        <v>1037.56</v>
      </c>
      <c r="F49">
        <v>1339448.92</v>
      </c>
      <c r="G49">
        <v>1341828.04</v>
      </c>
      <c r="H49">
        <v>617.45000000000005</v>
      </c>
      <c r="J49">
        <f t="shared" si="0"/>
        <v>1</v>
      </c>
      <c r="K49">
        <f t="shared" si="1"/>
        <v>0</v>
      </c>
      <c r="L49">
        <f t="shared" si="2"/>
        <v>0</v>
      </c>
      <c r="N49">
        <f t="shared" si="3"/>
        <v>1</v>
      </c>
      <c r="O49">
        <f t="shared" si="4"/>
        <v>0</v>
      </c>
      <c r="P49">
        <f t="shared" si="5"/>
        <v>0</v>
      </c>
    </row>
    <row r="50" spans="1:16">
      <c r="A50" t="s">
        <v>29</v>
      </c>
      <c r="B50">
        <v>2620042.08</v>
      </c>
      <c r="C50">
        <v>2622073.9300000002</v>
      </c>
      <c r="D50">
        <v>1191.52</v>
      </c>
      <c r="F50">
        <v>2624315.59</v>
      </c>
      <c r="G50">
        <v>2626638.0299999998</v>
      </c>
      <c r="H50">
        <v>886.7</v>
      </c>
      <c r="J50">
        <f t="shared" si="0"/>
        <v>1</v>
      </c>
      <c r="K50">
        <f t="shared" si="1"/>
        <v>0</v>
      </c>
      <c r="L50">
        <f t="shared" si="2"/>
        <v>0</v>
      </c>
      <c r="N50">
        <f t="shared" si="3"/>
        <v>1</v>
      </c>
      <c r="O50">
        <f t="shared" si="4"/>
        <v>0</v>
      </c>
      <c r="P50">
        <f t="shared" si="5"/>
        <v>0</v>
      </c>
    </row>
    <row r="51" spans="1:16">
      <c r="A51" t="s">
        <v>30</v>
      </c>
      <c r="B51">
        <v>2525547.2400000002</v>
      </c>
      <c r="C51">
        <v>2531717.2400000002</v>
      </c>
      <c r="D51">
        <v>1294.6199999999999</v>
      </c>
      <c r="F51">
        <v>2533632.81</v>
      </c>
      <c r="G51">
        <v>2540022.3199999998</v>
      </c>
      <c r="H51">
        <v>958.76</v>
      </c>
      <c r="J51">
        <f t="shared" si="0"/>
        <v>1</v>
      </c>
      <c r="K51">
        <f t="shared" si="1"/>
        <v>0</v>
      </c>
      <c r="L51">
        <f t="shared" si="2"/>
        <v>0</v>
      </c>
      <c r="N51">
        <f t="shared" si="3"/>
        <v>1</v>
      </c>
      <c r="O51">
        <f t="shared" si="4"/>
        <v>0</v>
      </c>
      <c r="P51">
        <f t="shared" si="5"/>
        <v>0</v>
      </c>
    </row>
    <row r="52" spans="1:16">
      <c r="A52" t="s">
        <v>7</v>
      </c>
      <c r="B52">
        <v>43.81</v>
      </c>
      <c r="C52">
        <v>47.11</v>
      </c>
      <c r="D52">
        <v>960.01</v>
      </c>
      <c r="F52">
        <v>44.47</v>
      </c>
      <c r="G52">
        <v>47.23</v>
      </c>
      <c r="H52">
        <v>864.23</v>
      </c>
      <c r="J52">
        <f t="shared" si="0"/>
        <v>1</v>
      </c>
      <c r="K52">
        <f t="shared" si="1"/>
        <v>0</v>
      </c>
      <c r="L52">
        <f t="shared" si="2"/>
        <v>0</v>
      </c>
      <c r="N52">
        <f t="shared" si="3"/>
        <v>1</v>
      </c>
      <c r="O52">
        <f t="shared" si="4"/>
        <v>0</v>
      </c>
      <c r="P52">
        <f t="shared" si="5"/>
        <v>0</v>
      </c>
    </row>
    <row r="53" spans="1:16">
      <c r="A53" t="s">
        <v>8</v>
      </c>
      <c r="B53">
        <v>17</v>
      </c>
      <c r="C53">
        <v>19.7</v>
      </c>
      <c r="D53">
        <v>1023</v>
      </c>
      <c r="F53">
        <v>17</v>
      </c>
      <c r="G53">
        <v>20.7</v>
      </c>
      <c r="H53">
        <v>944.27</v>
      </c>
      <c r="J53">
        <f t="shared" si="0"/>
        <v>0</v>
      </c>
      <c r="K53">
        <f t="shared" si="1"/>
        <v>1</v>
      </c>
      <c r="L53" s="3">
        <f t="shared" si="2"/>
        <v>0</v>
      </c>
      <c r="N53">
        <f t="shared" si="3"/>
        <v>1</v>
      </c>
      <c r="O53">
        <f t="shared" si="4"/>
        <v>0</v>
      </c>
      <c r="P53">
        <f t="shared" si="5"/>
        <v>0</v>
      </c>
    </row>
    <row r="54" spans="1:16">
      <c r="A54" t="s">
        <v>9</v>
      </c>
      <c r="B54">
        <v>8264.02</v>
      </c>
      <c r="C54">
        <v>8342.8799999999992</v>
      </c>
      <c r="D54">
        <v>297.22000000000003</v>
      </c>
      <c r="F54">
        <v>8264.02</v>
      </c>
      <c r="G54">
        <v>8272.92</v>
      </c>
      <c r="H54">
        <v>669.75</v>
      </c>
      <c r="J54">
        <f t="shared" si="0"/>
        <v>0</v>
      </c>
      <c r="K54">
        <f t="shared" si="1"/>
        <v>1</v>
      </c>
      <c r="L54" s="3">
        <f t="shared" si="2"/>
        <v>0</v>
      </c>
      <c r="N54">
        <f t="shared" si="3"/>
        <v>0</v>
      </c>
      <c r="O54">
        <f t="shared" si="4"/>
        <v>0</v>
      </c>
      <c r="P54" s="3">
        <f t="shared" si="5"/>
        <v>1</v>
      </c>
    </row>
    <row r="55" spans="1:16">
      <c r="A55" t="s">
        <v>10</v>
      </c>
      <c r="B55">
        <v>374.6</v>
      </c>
      <c r="C55">
        <v>604.75</v>
      </c>
      <c r="D55">
        <v>907.73</v>
      </c>
      <c r="F55">
        <v>483.8</v>
      </c>
      <c r="G55">
        <v>682.8</v>
      </c>
      <c r="H55">
        <v>1121.74</v>
      </c>
      <c r="J55">
        <f t="shared" si="0"/>
        <v>1</v>
      </c>
      <c r="K55">
        <f t="shared" si="1"/>
        <v>0</v>
      </c>
      <c r="L55">
        <f t="shared" si="2"/>
        <v>0</v>
      </c>
      <c r="N55">
        <f t="shared" si="3"/>
        <v>1</v>
      </c>
      <c r="O55">
        <f t="shared" si="4"/>
        <v>0</v>
      </c>
      <c r="P55">
        <f t="shared" si="5"/>
        <v>0</v>
      </c>
    </row>
    <row r="56" spans="1:16">
      <c r="A56" t="s">
        <v>11</v>
      </c>
      <c r="B56">
        <v>29764.93</v>
      </c>
      <c r="C56">
        <v>30018.93</v>
      </c>
      <c r="D56">
        <v>784.09</v>
      </c>
      <c r="F56">
        <v>29680.68</v>
      </c>
      <c r="G56">
        <v>30187.25</v>
      </c>
      <c r="H56">
        <v>1196.58</v>
      </c>
      <c r="J56">
        <f t="shared" si="0"/>
        <v>0</v>
      </c>
      <c r="K56">
        <f t="shared" si="1"/>
        <v>0</v>
      </c>
      <c r="L56">
        <f t="shared" si="2"/>
        <v>1</v>
      </c>
      <c r="N56">
        <f t="shared" si="3"/>
        <v>1</v>
      </c>
      <c r="O56">
        <f t="shared" si="4"/>
        <v>0</v>
      </c>
      <c r="P56">
        <f t="shared" si="5"/>
        <v>0</v>
      </c>
    </row>
    <row r="57" spans="1:16">
      <c r="A57" t="s">
        <v>12</v>
      </c>
      <c r="B57">
        <v>5248.03</v>
      </c>
      <c r="C57">
        <v>5707.41</v>
      </c>
      <c r="D57">
        <v>305.23</v>
      </c>
      <c r="F57">
        <v>5151.0200000000004</v>
      </c>
      <c r="G57">
        <v>5596.7</v>
      </c>
      <c r="H57">
        <v>918.15</v>
      </c>
      <c r="J57">
        <f t="shared" si="0"/>
        <v>0</v>
      </c>
      <c r="K57">
        <f t="shared" si="1"/>
        <v>0</v>
      </c>
      <c r="L57">
        <f t="shared" si="2"/>
        <v>1</v>
      </c>
      <c r="N57">
        <f t="shared" si="3"/>
        <v>0</v>
      </c>
      <c r="O57">
        <f t="shared" si="4"/>
        <v>0</v>
      </c>
      <c r="P57" s="3">
        <f t="shared" si="5"/>
        <v>1</v>
      </c>
    </row>
    <row r="58" spans="1:16">
      <c r="A58" t="s">
        <v>13</v>
      </c>
      <c r="B58">
        <v>82328.800000000003</v>
      </c>
      <c r="C58">
        <v>82564.929999999993</v>
      </c>
      <c r="D58">
        <v>1060.08</v>
      </c>
      <c r="F58">
        <v>81843.16</v>
      </c>
      <c r="G58">
        <v>82708.81</v>
      </c>
      <c r="H58">
        <v>1092.46</v>
      </c>
      <c r="J58">
        <f t="shared" si="0"/>
        <v>0</v>
      </c>
      <c r="K58">
        <f t="shared" si="1"/>
        <v>0</v>
      </c>
      <c r="L58">
        <f t="shared" si="2"/>
        <v>1</v>
      </c>
      <c r="N58">
        <f t="shared" si="3"/>
        <v>1</v>
      </c>
      <c r="O58">
        <f t="shared" si="4"/>
        <v>0</v>
      </c>
      <c r="P58">
        <f t="shared" si="5"/>
        <v>0</v>
      </c>
    </row>
    <row r="59" spans="1:16">
      <c r="A59" t="s">
        <v>14</v>
      </c>
      <c r="B59">
        <v>43721.55</v>
      </c>
      <c r="C59">
        <v>44134.35</v>
      </c>
      <c r="D59">
        <v>1488.81</v>
      </c>
      <c r="F59">
        <v>43647.040000000001</v>
      </c>
      <c r="G59">
        <v>44120.37</v>
      </c>
      <c r="H59">
        <v>1348.62</v>
      </c>
      <c r="J59">
        <f t="shared" si="0"/>
        <v>0</v>
      </c>
      <c r="K59">
        <f t="shared" si="1"/>
        <v>0</v>
      </c>
      <c r="L59">
        <f t="shared" si="2"/>
        <v>1</v>
      </c>
      <c r="N59">
        <f t="shared" si="3"/>
        <v>0</v>
      </c>
      <c r="O59">
        <f t="shared" si="4"/>
        <v>0</v>
      </c>
      <c r="P59">
        <f t="shared" si="5"/>
        <v>1</v>
      </c>
    </row>
    <row r="60" spans="1:16">
      <c r="A60" t="s">
        <v>15</v>
      </c>
      <c r="B60">
        <v>121351.14</v>
      </c>
      <c r="C60">
        <v>122520.48</v>
      </c>
      <c r="D60">
        <v>1198</v>
      </c>
      <c r="F60">
        <v>121914.46</v>
      </c>
      <c r="G60">
        <v>123341.5</v>
      </c>
      <c r="H60">
        <v>1377.3</v>
      </c>
      <c r="J60">
        <f t="shared" si="0"/>
        <v>1</v>
      </c>
      <c r="K60">
        <f t="shared" si="1"/>
        <v>0</v>
      </c>
      <c r="L60" s="3">
        <f t="shared" si="2"/>
        <v>0</v>
      </c>
      <c r="N60">
        <f t="shared" si="3"/>
        <v>1</v>
      </c>
      <c r="O60">
        <f t="shared" si="4"/>
        <v>0</v>
      </c>
      <c r="P60">
        <f t="shared" si="5"/>
        <v>0</v>
      </c>
    </row>
    <row r="61" spans="1:16">
      <c r="A61" t="s">
        <v>16</v>
      </c>
      <c r="B61">
        <v>42243.96</v>
      </c>
      <c r="C61">
        <v>43088.97</v>
      </c>
      <c r="D61">
        <v>1425.05</v>
      </c>
      <c r="F61">
        <v>42959.7</v>
      </c>
      <c r="G61">
        <v>43755.05</v>
      </c>
      <c r="H61">
        <v>1409.82</v>
      </c>
      <c r="J61">
        <f t="shared" si="0"/>
        <v>1</v>
      </c>
      <c r="K61">
        <f t="shared" si="1"/>
        <v>0</v>
      </c>
      <c r="L61">
        <f t="shared" si="2"/>
        <v>0</v>
      </c>
      <c r="N61">
        <f t="shared" si="3"/>
        <v>1</v>
      </c>
      <c r="O61">
        <f t="shared" si="4"/>
        <v>0</v>
      </c>
      <c r="P61">
        <f t="shared" si="5"/>
        <v>0</v>
      </c>
    </row>
    <row r="62" spans="1:16">
      <c r="A62" t="s">
        <v>17</v>
      </c>
      <c r="B62">
        <v>36350.620000000003</v>
      </c>
      <c r="C62">
        <v>36685.160000000003</v>
      </c>
      <c r="D62">
        <v>1488.08</v>
      </c>
      <c r="F62">
        <v>36899.949999999997</v>
      </c>
      <c r="G62">
        <v>37741.96</v>
      </c>
      <c r="H62">
        <v>1527.42</v>
      </c>
      <c r="J62">
        <f t="shared" si="0"/>
        <v>1</v>
      </c>
      <c r="K62">
        <f t="shared" si="1"/>
        <v>0</v>
      </c>
      <c r="L62">
        <f t="shared" si="2"/>
        <v>0</v>
      </c>
      <c r="N62">
        <f t="shared" si="3"/>
        <v>1</v>
      </c>
      <c r="O62">
        <f t="shared" si="4"/>
        <v>0</v>
      </c>
      <c r="P62">
        <f t="shared" si="5"/>
        <v>0</v>
      </c>
    </row>
    <row r="63" spans="1:16">
      <c r="A63" t="s">
        <v>18</v>
      </c>
      <c r="B63">
        <v>35803.85</v>
      </c>
      <c r="C63">
        <v>36256.54</v>
      </c>
      <c r="D63">
        <v>1511.16</v>
      </c>
      <c r="F63">
        <v>35844.46</v>
      </c>
      <c r="G63">
        <v>36979.5</v>
      </c>
      <c r="H63">
        <v>1448.24</v>
      </c>
      <c r="J63">
        <f t="shared" si="0"/>
        <v>1</v>
      </c>
      <c r="K63">
        <f t="shared" si="1"/>
        <v>0</v>
      </c>
      <c r="L63">
        <f t="shared" si="2"/>
        <v>0</v>
      </c>
      <c r="N63">
        <f t="shared" si="3"/>
        <v>1</v>
      </c>
      <c r="O63">
        <f t="shared" si="4"/>
        <v>0</v>
      </c>
      <c r="P63">
        <f t="shared" si="5"/>
        <v>0</v>
      </c>
    </row>
    <row r="64" spans="1:16">
      <c r="A64" t="s">
        <v>19</v>
      </c>
      <c r="B64">
        <v>119484.04</v>
      </c>
      <c r="C64">
        <v>120939.04</v>
      </c>
      <c r="D64">
        <v>1597.88</v>
      </c>
      <c r="F64">
        <v>120064.11</v>
      </c>
      <c r="G64">
        <v>122537.36</v>
      </c>
      <c r="H64">
        <v>1519.13</v>
      </c>
      <c r="J64">
        <f t="shared" si="0"/>
        <v>1</v>
      </c>
      <c r="K64">
        <f t="shared" si="1"/>
        <v>0</v>
      </c>
      <c r="L64">
        <f t="shared" si="2"/>
        <v>0</v>
      </c>
      <c r="N64">
        <f t="shared" si="3"/>
        <v>1</v>
      </c>
      <c r="O64">
        <f t="shared" si="4"/>
        <v>0</v>
      </c>
      <c r="P64">
        <f t="shared" si="5"/>
        <v>0</v>
      </c>
    </row>
    <row r="65" spans="1:16">
      <c r="A65" t="s">
        <v>20</v>
      </c>
      <c r="B65">
        <v>114372.69</v>
      </c>
      <c r="C65">
        <v>115674.54</v>
      </c>
      <c r="D65">
        <v>1425.97</v>
      </c>
      <c r="F65">
        <v>114998.82</v>
      </c>
      <c r="G65">
        <v>117355.51</v>
      </c>
      <c r="H65">
        <v>1449.18</v>
      </c>
      <c r="J65">
        <f t="shared" si="0"/>
        <v>1</v>
      </c>
      <c r="K65">
        <f t="shared" si="1"/>
        <v>0</v>
      </c>
      <c r="L65">
        <f t="shared" si="2"/>
        <v>0</v>
      </c>
      <c r="N65">
        <f t="shared" si="3"/>
        <v>1</v>
      </c>
      <c r="O65">
        <f t="shared" si="4"/>
        <v>0</v>
      </c>
      <c r="P65">
        <f t="shared" si="5"/>
        <v>0</v>
      </c>
    </row>
    <row r="66" spans="1:16">
      <c r="A66" t="s">
        <v>21</v>
      </c>
      <c r="B66">
        <v>181321.26</v>
      </c>
      <c r="C66">
        <v>182234.31</v>
      </c>
      <c r="D66">
        <v>1543.91</v>
      </c>
      <c r="F66">
        <v>182835.75</v>
      </c>
      <c r="G66">
        <v>184229.96</v>
      </c>
      <c r="H66">
        <v>1381.15</v>
      </c>
      <c r="J66">
        <f t="shared" si="0"/>
        <v>1</v>
      </c>
      <c r="K66">
        <f t="shared" si="1"/>
        <v>0</v>
      </c>
      <c r="L66">
        <f t="shared" si="2"/>
        <v>0</v>
      </c>
      <c r="N66">
        <f t="shared" si="3"/>
        <v>1</v>
      </c>
      <c r="O66">
        <f t="shared" si="4"/>
        <v>0</v>
      </c>
      <c r="P66">
        <f t="shared" si="5"/>
        <v>0</v>
      </c>
    </row>
    <row r="67" spans="1:16">
      <c r="A67" t="s">
        <v>22</v>
      </c>
      <c r="B67">
        <v>180282.84</v>
      </c>
      <c r="C67">
        <v>182310.96</v>
      </c>
      <c r="D67">
        <v>1038.2</v>
      </c>
      <c r="F67">
        <v>179459.5</v>
      </c>
      <c r="G67">
        <v>182599.9</v>
      </c>
      <c r="H67">
        <v>1246.71</v>
      </c>
      <c r="J67">
        <f t="shared" si="0"/>
        <v>0</v>
      </c>
      <c r="K67">
        <f t="shared" si="1"/>
        <v>0</v>
      </c>
      <c r="L67">
        <f t="shared" si="2"/>
        <v>1</v>
      </c>
      <c r="N67">
        <f t="shared" si="3"/>
        <v>1</v>
      </c>
      <c r="O67">
        <f t="shared" si="4"/>
        <v>0</v>
      </c>
      <c r="P67">
        <f t="shared" si="5"/>
        <v>0</v>
      </c>
    </row>
    <row r="68" spans="1:16">
      <c r="A68" t="s">
        <v>23</v>
      </c>
      <c r="B68">
        <v>425567.18</v>
      </c>
      <c r="C68">
        <v>427706.71</v>
      </c>
      <c r="D68">
        <v>1183.53</v>
      </c>
      <c r="F68">
        <v>428233.17</v>
      </c>
      <c r="G68">
        <v>430121.4</v>
      </c>
      <c r="H68">
        <v>1042.9000000000001</v>
      </c>
      <c r="J68">
        <f t="shared" si="0"/>
        <v>1</v>
      </c>
      <c r="K68">
        <f t="shared" si="1"/>
        <v>0</v>
      </c>
      <c r="L68">
        <f t="shared" si="2"/>
        <v>0</v>
      </c>
      <c r="N68">
        <f t="shared" si="3"/>
        <v>1</v>
      </c>
      <c r="O68">
        <f t="shared" si="4"/>
        <v>0</v>
      </c>
      <c r="P68">
        <f t="shared" si="5"/>
        <v>0</v>
      </c>
    </row>
    <row r="69" spans="1:16">
      <c r="A69" t="s">
        <v>24</v>
      </c>
      <c r="B69">
        <v>417126.04</v>
      </c>
      <c r="C69">
        <v>418412.27</v>
      </c>
      <c r="D69">
        <v>1205.1300000000001</v>
      </c>
      <c r="F69">
        <v>418115.69</v>
      </c>
      <c r="G69">
        <v>419676.81</v>
      </c>
      <c r="H69">
        <v>1013.06</v>
      </c>
      <c r="J69">
        <f t="shared" ref="J69:J75" si="6">IF(B69&lt;F69,1,0)</f>
        <v>1</v>
      </c>
      <c r="K69">
        <f t="shared" ref="K69:K75" si="7">IF(B69=F69,1,0)</f>
        <v>0</v>
      </c>
      <c r="L69">
        <f t="shared" ref="L69:L75" si="8">IF(B69&gt;F69,1,0)</f>
        <v>0</v>
      </c>
      <c r="N69">
        <f t="shared" ref="N69:N75" si="9">IF(C69&lt;G69,1,0)</f>
        <v>1</v>
      </c>
      <c r="O69">
        <f t="shared" ref="O69:O75" si="10">IF(C69=G69,1,0)</f>
        <v>0</v>
      </c>
      <c r="P69">
        <f t="shared" ref="P69:P75" si="11">IF(C69&gt;G69,1,0)</f>
        <v>0</v>
      </c>
    </row>
    <row r="70" spans="1:16">
      <c r="A70" t="s">
        <v>25</v>
      </c>
      <c r="B70">
        <v>531970.13</v>
      </c>
      <c r="C70">
        <v>534372.97</v>
      </c>
      <c r="D70">
        <v>1252.19</v>
      </c>
      <c r="F70">
        <v>531472.57999999996</v>
      </c>
      <c r="G70">
        <v>535429.91</v>
      </c>
      <c r="H70">
        <v>1282.4100000000001</v>
      </c>
      <c r="J70">
        <f t="shared" si="6"/>
        <v>0</v>
      </c>
      <c r="K70">
        <f t="shared" si="7"/>
        <v>0</v>
      </c>
      <c r="L70">
        <f t="shared" si="8"/>
        <v>1</v>
      </c>
      <c r="N70">
        <f t="shared" si="9"/>
        <v>1</v>
      </c>
      <c r="O70">
        <f t="shared" si="10"/>
        <v>0</v>
      </c>
      <c r="P70">
        <f t="shared" si="11"/>
        <v>0</v>
      </c>
    </row>
    <row r="71" spans="1:16">
      <c r="A71" t="s">
        <v>26</v>
      </c>
      <c r="B71">
        <v>532976.86</v>
      </c>
      <c r="C71">
        <v>535436.84</v>
      </c>
      <c r="D71">
        <v>1136.58</v>
      </c>
      <c r="F71">
        <v>533396.1</v>
      </c>
      <c r="G71">
        <v>536883.67000000004</v>
      </c>
      <c r="H71">
        <v>779.46</v>
      </c>
      <c r="J71">
        <f t="shared" si="6"/>
        <v>1</v>
      </c>
      <c r="K71">
        <f t="shared" si="7"/>
        <v>0</v>
      </c>
      <c r="L71">
        <f t="shared" si="8"/>
        <v>0</v>
      </c>
      <c r="N71">
        <f t="shared" si="9"/>
        <v>1</v>
      </c>
      <c r="O71">
        <f t="shared" si="10"/>
        <v>0</v>
      </c>
      <c r="P71">
        <f t="shared" si="11"/>
        <v>0</v>
      </c>
    </row>
    <row r="72" spans="1:16">
      <c r="A72" t="s">
        <v>27</v>
      </c>
      <c r="B72">
        <v>1096037.7</v>
      </c>
      <c r="C72">
        <v>1098380.31</v>
      </c>
      <c r="D72">
        <v>1121.46</v>
      </c>
      <c r="F72">
        <v>1098621.3999999999</v>
      </c>
      <c r="G72">
        <v>1101784.5900000001</v>
      </c>
      <c r="H72">
        <v>841.61</v>
      </c>
      <c r="J72">
        <f t="shared" si="6"/>
        <v>1</v>
      </c>
      <c r="K72">
        <f t="shared" si="7"/>
        <v>0</v>
      </c>
      <c r="L72">
        <f t="shared" si="8"/>
        <v>0</v>
      </c>
      <c r="N72">
        <f t="shared" si="9"/>
        <v>1</v>
      </c>
      <c r="O72">
        <f t="shared" si="10"/>
        <v>0</v>
      </c>
      <c r="P72">
        <f t="shared" si="11"/>
        <v>0</v>
      </c>
    </row>
    <row r="73" spans="1:16">
      <c r="A73" t="s">
        <v>28</v>
      </c>
      <c r="B73">
        <v>1098289.2</v>
      </c>
      <c r="C73">
        <v>1100530.49</v>
      </c>
      <c r="D73">
        <v>1185.06</v>
      </c>
      <c r="F73">
        <v>1097525.26</v>
      </c>
      <c r="G73">
        <v>1103286.23</v>
      </c>
      <c r="H73">
        <v>766.28</v>
      </c>
      <c r="J73">
        <f t="shared" si="6"/>
        <v>0</v>
      </c>
      <c r="K73">
        <f t="shared" si="7"/>
        <v>0</v>
      </c>
      <c r="L73">
        <f t="shared" si="8"/>
        <v>1</v>
      </c>
      <c r="N73">
        <f t="shared" si="9"/>
        <v>1</v>
      </c>
      <c r="O73">
        <f t="shared" si="10"/>
        <v>0</v>
      </c>
      <c r="P73">
        <f t="shared" si="11"/>
        <v>0</v>
      </c>
    </row>
    <row r="74" spans="1:16">
      <c r="A74" t="s">
        <v>29</v>
      </c>
      <c r="B74">
        <v>2230299.83</v>
      </c>
      <c r="C74">
        <v>2235966.9700000002</v>
      </c>
      <c r="D74">
        <v>856.97</v>
      </c>
      <c r="F74">
        <v>2235042.2200000002</v>
      </c>
      <c r="G74">
        <v>2237876.1800000002</v>
      </c>
      <c r="H74">
        <v>1222.5999999999999</v>
      </c>
      <c r="J74">
        <f t="shared" si="6"/>
        <v>1</v>
      </c>
      <c r="K74">
        <f t="shared" si="7"/>
        <v>0</v>
      </c>
      <c r="L74">
        <f t="shared" si="8"/>
        <v>0</v>
      </c>
      <c r="N74">
        <f t="shared" si="9"/>
        <v>1</v>
      </c>
      <c r="O74">
        <f t="shared" si="10"/>
        <v>0</v>
      </c>
      <c r="P74">
        <f t="shared" si="11"/>
        <v>0</v>
      </c>
    </row>
    <row r="75" spans="1:16">
      <c r="A75" t="s">
        <v>30</v>
      </c>
      <c r="B75">
        <v>2239781.38</v>
      </c>
      <c r="C75">
        <v>2244886.98</v>
      </c>
      <c r="D75">
        <v>868.4</v>
      </c>
      <c r="F75">
        <v>2239738.35</v>
      </c>
      <c r="G75">
        <v>2250275.67</v>
      </c>
      <c r="H75">
        <v>1010.4</v>
      </c>
      <c r="J75">
        <f t="shared" si="6"/>
        <v>0</v>
      </c>
      <c r="K75">
        <f t="shared" si="7"/>
        <v>0</v>
      </c>
      <c r="L75">
        <f t="shared" si="8"/>
        <v>1</v>
      </c>
      <c r="N75">
        <f t="shared" si="9"/>
        <v>1</v>
      </c>
      <c r="O75">
        <f t="shared" si="10"/>
        <v>0</v>
      </c>
      <c r="P75">
        <f t="shared" si="11"/>
        <v>0</v>
      </c>
    </row>
    <row r="76" spans="1:16">
      <c r="J76">
        <f>SUM(J4:J75)</f>
        <v>47</v>
      </c>
      <c r="K76">
        <f>SUM(K4:K75)</f>
        <v>13</v>
      </c>
      <c r="L76">
        <f>SUM(L4:L75)</f>
        <v>12</v>
      </c>
      <c r="N76">
        <f>SUM(N4:N75)</f>
        <v>58</v>
      </c>
      <c r="O76">
        <f>SUM(O4:O75)</f>
        <v>7</v>
      </c>
      <c r="P76">
        <f>SUM(P4:P75)</f>
        <v>7</v>
      </c>
    </row>
    <row r="77" spans="1:16">
      <c r="I77" t="s">
        <v>89</v>
      </c>
      <c r="J77">
        <f>SUM(J4:J27)</f>
        <v>13</v>
      </c>
      <c r="K77">
        <f>SUM(K4:K27)</f>
        <v>8</v>
      </c>
      <c r="L77">
        <f>SUM(L4:L27)</f>
        <v>3</v>
      </c>
      <c r="N77">
        <f>SUM(N4:N27)</f>
        <v>18</v>
      </c>
      <c r="O77">
        <f>SUM(O4:O27)</f>
        <v>5</v>
      </c>
      <c r="P77">
        <f>SUM(P4:P27)</f>
        <v>1</v>
      </c>
    </row>
    <row r="78" spans="1:16">
      <c r="I78" t="s">
        <v>90</v>
      </c>
      <c r="J78">
        <f t="shared" ref="J78:L78" si="12">SUM(J28:J51)</f>
        <v>20</v>
      </c>
      <c r="K78">
        <f t="shared" si="12"/>
        <v>3</v>
      </c>
      <c r="L78">
        <f t="shared" si="12"/>
        <v>1</v>
      </c>
      <c r="N78">
        <f>SUM(N28:N51)</f>
        <v>19</v>
      </c>
      <c r="O78">
        <f>SUM(O28:O51)</f>
        <v>2</v>
      </c>
      <c r="P78">
        <f>SUM(P28:P51)</f>
        <v>3</v>
      </c>
    </row>
    <row r="79" spans="1:16">
      <c r="I79" t="s">
        <v>91</v>
      </c>
      <c r="J79">
        <f t="shared" ref="J79:P79" si="13">SUM(J52:J75)</f>
        <v>14</v>
      </c>
      <c r="K79">
        <f t="shared" si="13"/>
        <v>2</v>
      </c>
      <c r="L79">
        <f t="shared" si="13"/>
        <v>8</v>
      </c>
      <c r="N79">
        <f t="shared" si="13"/>
        <v>21</v>
      </c>
      <c r="O79">
        <f t="shared" si="13"/>
        <v>0</v>
      </c>
      <c r="P79">
        <f t="shared" si="13"/>
        <v>3</v>
      </c>
    </row>
    <row r="80" spans="1:16">
      <c r="I80" t="s">
        <v>92</v>
      </c>
      <c r="J80" t="s">
        <v>93</v>
      </c>
      <c r="K80" t="s">
        <v>94</v>
      </c>
      <c r="L80" t="s">
        <v>95</v>
      </c>
    </row>
    <row r="81" spans="9:28">
      <c r="I81" t="s">
        <v>96</v>
      </c>
      <c r="J81">
        <f>J76</f>
        <v>47</v>
      </c>
      <c r="K81">
        <f t="shared" ref="K81:L81" si="14">K76</f>
        <v>13</v>
      </c>
      <c r="L81">
        <f t="shared" si="14"/>
        <v>12</v>
      </c>
    </row>
    <row r="82" spans="9:28">
      <c r="I82" t="s">
        <v>97</v>
      </c>
      <c r="J82">
        <f>N76</f>
        <v>58</v>
      </c>
      <c r="K82">
        <f t="shared" ref="K82:L82" si="15">O76</f>
        <v>7</v>
      </c>
      <c r="L82">
        <f t="shared" si="15"/>
        <v>7</v>
      </c>
    </row>
    <row r="85" spans="9:28">
      <c r="M85" s="27" t="s">
        <v>92</v>
      </c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spans="9:28">
      <c r="I86" s="4"/>
      <c r="J86" s="4"/>
      <c r="K86" s="4"/>
      <c r="L86" s="4"/>
      <c r="M86" s="28" t="s">
        <v>3</v>
      </c>
      <c r="N86" s="28"/>
      <c r="O86" s="28"/>
      <c r="P86" s="28"/>
      <c r="Q86" s="28"/>
      <c r="R86" s="28"/>
      <c r="S86" s="28"/>
      <c r="T86" s="28" t="s">
        <v>97</v>
      </c>
      <c r="U86" s="28"/>
      <c r="V86" s="28"/>
      <c r="W86" s="28"/>
      <c r="X86" s="28"/>
      <c r="Y86" s="28"/>
      <c r="Z86" s="28"/>
      <c r="AA86" s="28"/>
      <c r="AB86" s="4"/>
    </row>
    <row r="87" spans="9:28">
      <c r="I87" s="4"/>
      <c r="J87" s="4"/>
      <c r="K87" s="4"/>
      <c r="L87" s="4"/>
      <c r="M87" s="4" t="s">
        <v>93</v>
      </c>
      <c r="N87" s="4"/>
      <c r="O87" s="4" t="s">
        <v>94</v>
      </c>
      <c r="P87" s="4"/>
      <c r="Q87" s="4" t="s">
        <v>98</v>
      </c>
      <c r="R87" s="4"/>
      <c r="S87" s="4" t="s">
        <v>99</v>
      </c>
      <c r="T87" s="4" t="s">
        <v>100</v>
      </c>
      <c r="U87" s="4" t="s">
        <v>93</v>
      </c>
      <c r="V87" s="4"/>
      <c r="W87" s="4" t="s">
        <v>94</v>
      </c>
      <c r="X87" s="4"/>
      <c r="Y87" s="4" t="s">
        <v>98</v>
      </c>
      <c r="Z87" s="4"/>
      <c r="AA87" s="4" t="s">
        <v>99</v>
      </c>
      <c r="AB87" s="4"/>
    </row>
    <row r="88" spans="9:28">
      <c r="J88" s="4"/>
      <c r="K88" s="4" t="s">
        <v>101</v>
      </c>
      <c r="L88" s="4" t="s">
        <v>100</v>
      </c>
      <c r="M88" s="4">
        <f>J77</f>
        <v>13</v>
      </c>
      <c r="N88" s="4" t="s">
        <v>100</v>
      </c>
      <c r="O88" s="4">
        <f>K77</f>
        <v>8</v>
      </c>
      <c r="P88" s="4" t="s">
        <v>100</v>
      </c>
      <c r="Q88" s="4">
        <f>L77</f>
        <v>3</v>
      </c>
      <c r="R88" s="4" t="s">
        <v>100</v>
      </c>
      <c r="S88" s="12">
        <v>1.192E-7</v>
      </c>
      <c r="T88" s="4" t="s">
        <v>100</v>
      </c>
      <c r="U88" s="4">
        <f>N77</f>
        <v>18</v>
      </c>
      <c r="V88" s="4" t="s">
        <v>100</v>
      </c>
      <c r="W88" s="4">
        <f>O77</f>
        <v>5</v>
      </c>
      <c r="X88" s="4" t="s">
        <v>100</v>
      </c>
      <c r="Y88" s="4">
        <f>P77</f>
        <v>1</v>
      </c>
      <c r="Z88" s="4" t="s">
        <v>100</v>
      </c>
      <c r="AA88" s="13">
        <v>1.192E-7</v>
      </c>
      <c r="AB88" s="6" t="s">
        <v>102</v>
      </c>
    </row>
    <row r="89" spans="9:28">
      <c r="J89" s="4"/>
      <c r="K89" s="4" t="s">
        <v>103</v>
      </c>
      <c r="L89" s="4" t="s">
        <v>100</v>
      </c>
      <c r="M89" s="4">
        <f>J78</f>
        <v>20</v>
      </c>
      <c r="N89" s="4" t="s">
        <v>100</v>
      </c>
      <c r="O89" s="4">
        <f>K78</f>
        <v>3</v>
      </c>
      <c r="P89" s="4" t="s">
        <v>100</v>
      </c>
      <c r="Q89" s="4">
        <f>L78</f>
        <v>1</v>
      </c>
      <c r="R89" s="4" t="s">
        <v>100</v>
      </c>
      <c r="S89" s="13">
        <v>1.192E-7</v>
      </c>
      <c r="T89" s="4" t="s">
        <v>100</v>
      </c>
      <c r="U89" s="4">
        <f>N78</f>
        <v>19</v>
      </c>
      <c r="V89" s="4" t="s">
        <v>100</v>
      </c>
      <c r="W89" s="4">
        <f>O78</f>
        <v>2</v>
      </c>
      <c r="X89" s="4" t="s">
        <v>100</v>
      </c>
      <c r="Y89" s="4">
        <f>P78</f>
        <v>3</v>
      </c>
      <c r="Z89" s="4" t="s">
        <v>100</v>
      </c>
      <c r="AA89" s="13">
        <v>1.192E-7</v>
      </c>
      <c r="AB89" s="6" t="s">
        <v>102</v>
      </c>
    </row>
    <row r="90" spans="9:28">
      <c r="J90" s="4"/>
      <c r="K90" s="4" t="s">
        <v>104</v>
      </c>
      <c r="L90" s="4" t="s">
        <v>100</v>
      </c>
      <c r="M90" s="4">
        <f>J79</f>
        <v>14</v>
      </c>
      <c r="N90" s="4" t="s">
        <v>100</v>
      </c>
      <c r="O90" s="4">
        <f>K79</f>
        <v>2</v>
      </c>
      <c r="P90" s="4" t="s">
        <v>100</v>
      </c>
      <c r="Q90" s="4">
        <f>L79</f>
        <v>8</v>
      </c>
      <c r="R90" s="4" t="s">
        <v>100</v>
      </c>
      <c r="S90" s="13">
        <v>8.3450000000000001E-7</v>
      </c>
      <c r="T90" s="4" t="s">
        <v>100</v>
      </c>
      <c r="U90" s="4">
        <f>N79</f>
        <v>21</v>
      </c>
      <c r="V90" s="4" t="s">
        <v>100</v>
      </c>
      <c r="W90" s="4">
        <f>O79</f>
        <v>0</v>
      </c>
      <c r="X90" s="4" t="s">
        <v>100</v>
      </c>
      <c r="Y90" s="4">
        <f>P79</f>
        <v>3</v>
      </c>
      <c r="Z90" s="4" t="s">
        <v>100</v>
      </c>
      <c r="AA90" s="13">
        <v>2.9799999999999998E-6</v>
      </c>
      <c r="AB90" s="6" t="s">
        <v>102</v>
      </c>
    </row>
    <row r="91" spans="9:28">
      <c r="I91" s="4"/>
      <c r="J91" s="4"/>
      <c r="K91" s="4" t="s">
        <v>105</v>
      </c>
      <c r="L91" s="4" t="s">
        <v>100</v>
      </c>
      <c r="M91" s="4">
        <f>J76</f>
        <v>47</v>
      </c>
      <c r="N91" s="4" t="s">
        <v>100</v>
      </c>
      <c r="O91" s="4">
        <f>K76</f>
        <v>13</v>
      </c>
      <c r="P91" s="4" t="s">
        <v>100</v>
      </c>
      <c r="Q91" s="4">
        <f>L76</f>
        <v>12</v>
      </c>
      <c r="R91" s="4" t="s">
        <v>100</v>
      </c>
      <c r="S91" s="13">
        <v>6.3289999999999999E-5</v>
      </c>
      <c r="T91" s="4" t="s">
        <v>100</v>
      </c>
      <c r="U91" s="4">
        <f>N76</f>
        <v>58</v>
      </c>
      <c r="V91" s="4" t="s">
        <v>100</v>
      </c>
      <c r="W91" s="4">
        <f>O76</f>
        <v>7</v>
      </c>
      <c r="X91" s="4" t="s">
        <v>100</v>
      </c>
      <c r="Y91" s="4">
        <f>P76</f>
        <v>7</v>
      </c>
      <c r="Z91" s="4" t="s">
        <v>100</v>
      </c>
      <c r="AA91" s="13">
        <v>1.192E-7</v>
      </c>
      <c r="AB91" s="6" t="s">
        <v>102</v>
      </c>
    </row>
    <row r="92" spans="9:28">
      <c r="I92" s="4"/>
      <c r="J92" s="4"/>
      <c r="K92" s="4" t="s">
        <v>99</v>
      </c>
      <c r="L92" s="4" t="s">
        <v>100</v>
      </c>
      <c r="M92" s="28"/>
      <c r="N92" s="28"/>
      <c r="O92" s="28"/>
      <c r="P92" s="28"/>
      <c r="Q92" s="28"/>
      <c r="R92" s="28"/>
      <c r="S92" s="4" t="s">
        <v>106</v>
      </c>
      <c r="T92" s="28"/>
      <c r="U92" s="28"/>
      <c r="V92" s="28"/>
      <c r="W92" s="28"/>
      <c r="X92" s="28"/>
      <c r="Y92" s="28"/>
      <c r="Z92" s="4"/>
      <c r="AA92" s="4"/>
      <c r="AB92" s="6" t="s">
        <v>102</v>
      </c>
    </row>
    <row r="93" spans="9:28">
      <c r="I93" s="4"/>
      <c r="J93" s="4"/>
      <c r="K93" s="4"/>
      <c r="L93" s="4"/>
      <c r="M93" s="4"/>
      <c r="N93" s="4"/>
      <c r="O93" s="4"/>
      <c r="P93" s="4"/>
      <c r="Q93" s="4"/>
      <c r="R93" s="4"/>
      <c r="S93" s="13"/>
      <c r="T93" s="4"/>
      <c r="U93" s="4"/>
      <c r="V93" s="4"/>
      <c r="W93" s="4"/>
      <c r="X93" s="4"/>
      <c r="Y93" s="4"/>
      <c r="Z93" s="4"/>
      <c r="AA93" s="13"/>
      <c r="AB93" s="6"/>
    </row>
    <row r="96" spans="9:28">
      <c r="I96" s="4"/>
      <c r="J96" s="4"/>
      <c r="K96" s="4"/>
      <c r="L96" s="4"/>
      <c r="M96" s="4" t="s">
        <v>92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13"/>
      <c r="AB96" s="6"/>
    </row>
    <row r="97" spans="9:26">
      <c r="I97" s="4"/>
      <c r="J97" s="4"/>
      <c r="K97" s="4"/>
      <c r="L97" s="4"/>
      <c r="M97" s="4" t="s">
        <v>3</v>
      </c>
      <c r="N97" s="4"/>
      <c r="O97" s="4"/>
      <c r="P97" s="4"/>
      <c r="Q97" s="4"/>
      <c r="R97" s="4" t="s">
        <v>97</v>
      </c>
      <c r="S97" s="4"/>
      <c r="T97" s="4"/>
      <c r="U97" s="4"/>
      <c r="V97" s="4"/>
      <c r="W97" s="4"/>
      <c r="X97" s="4"/>
      <c r="Y97" s="4"/>
      <c r="Z97" s="4"/>
    </row>
    <row r="98" spans="9:26">
      <c r="K98" s="4"/>
      <c r="L98" s="4"/>
      <c r="M98" s="4" t="s">
        <v>93</v>
      </c>
      <c r="N98" s="4"/>
      <c r="O98" s="4" t="s">
        <v>94</v>
      </c>
      <c r="P98" s="4"/>
      <c r="Q98" s="4" t="s">
        <v>98</v>
      </c>
      <c r="R98" s="4" t="s">
        <v>100</v>
      </c>
      <c r="S98" s="4" t="s">
        <v>93</v>
      </c>
      <c r="T98" s="4"/>
      <c r="U98" s="4" t="s">
        <v>94</v>
      </c>
      <c r="V98" s="4"/>
      <c r="W98" s="4" t="s">
        <v>98</v>
      </c>
      <c r="X98" s="4"/>
      <c r="Y98" s="4"/>
      <c r="Z98" s="4"/>
    </row>
    <row r="99" spans="9:26">
      <c r="K99" s="4" t="s">
        <v>101</v>
      </c>
      <c r="L99" s="4" t="s">
        <v>100</v>
      </c>
      <c r="M99" s="4">
        <f>J77</f>
        <v>13</v>
      </c>
      <c r="N99" s="4" t="s">
        <v>100</v>
      </c>
      <c r="O99" s="4">
        <f>K77</f>
        <v>8</v>
      </c>
      <c r="P99" s="4" t="s">
        <v>100</v>
      </c>
      <c r="Q99" s="4">
        <f>L77</f>
        <v>3</v>
      </c>
      <c r="R99" s="4" t="s">
        <v>100</v>
      </c>
      <c r="S99" s="4">
        <f>N77</f>
        <v>18</v>
      </c>
      <c r="T99" s="4" t="s">
        <v>100</v>
      </c>
      <c r="U99" s="4">
        <f>O77</f>
        <v>5</v>
      </c>
      <c r="V99" s="4" t="s">
        <v>100</v>
      </c>
      <c r="W99" s="4">
        <f>P77</f>
        <v>1</v>
      </c>
      <c r="X99" s="4" t="s">
        <v>100</v>
      </c>
      <c r="Y99" s="4" t="s">
        <v>102</v>
      </c>
      <c r="Z99" s="4"/>
    </row>
    <row r="100" spans="9:26">
      <c r="K100" s="4" t="s">
        <v>103</v>
      </c>
      <c r="L100" s="4" t="s">
        <v>100</v>
      </c>
      <c r="M100" s="4">
        <f t="shared" ref="M100:M101" si="16">J78</f>
        <v>20</v>
      </c>
      <c r="N100" s="4" t="s">
        <v>100</v>
      </c>
      <c r="O100" s="4">
        <f t="shared" ref="O100:O101" si="17">K78</f>
        <v>3</v>
      </c>
      <c r="P100" s="4" t="s">
        <v>100</v>
      </c>
      <c r="Q100" s="4">
        <f t="shared" ref="Q100:Q101" si="18">L78</f>
        <v>1</v>
      </c>
      <c r="R100" s="4" t="s">
        <v>100</v>
      </c>
      <c r="S100" s="4">
        <f t="shared" ref="S100:S101" si="19">N78</f>
        <v>19</v>
      </c>
      <c r="T100" s="4" t="s">
        <v>100</v>
      </c>
      <c r="U100" s="4">
        <f t="shared" ref="U100:U101" si="20">O78</f>
        <v>2</v>
      </c>
      <c r="V100" s="4" t="s">
        <v>100</v>
      </c>
      <c r="W100" s="4">
        <f t="shared" ref="W100:W101" si="21">P78</f>
        <v>3</v>
      </c>
      <c r="X100" s="4" t="s">
        <v>100</v>
      </c>
      <c r="Y100" s="4" t="s">
        <v>102</v>
      </c>
      <c r="Z100" s="4"/>
    </row>
    <row r="101" spans="9:26">
      <c r="K101" s="4" t="s">
        <v>104</v>
      </c>
      <c r="L101" s="4" t="s">
        <v>100</v>
      </c>
      <c r="M101" s="4">
        <f t="shared" si="16"/>
        <v>14</v>
      </c>
      <c r="N101" s="4" t="s">
        <v>100</v>
      </c>
      <c r="O101" s="4">
        <f t="shared" si="17"/>
        <v>2</v>
      </c>
      <c r="P101" s="4" t="s">
        <v>100</v>
      </c>
      <c r="Q101" s="4">
        <f t="shared" si="18"/>
        <v>8</v>
      </c>
      <c r="R101" s="4" t="s">
        <v>100</v>
      </c>
      <c r="S101" s="4">
        <f t="shared" si="19"/>
        <v>21</v>
      </c>
      <c r="T101" s="4" t="s">
        <v>100</v>
      </c>
      <c r="U101" s="4">
        <f t="shared" si="20"/>
        <v>0</v>
      </c>
      <c r="V101" s="4" t="s">
        <v>100</v>
      </c>
      <c r="W101" s="4">
        <f t="shared" si="21"/>
        <v>3</v>
      </c>
      <c r="X101" s="4" t="s">
        <v>100</v>
      </c>
      <c r="Y101" s="4" t="s">
        <v>102</v>
      </c>
      <c r="Z101" s="4"/>
    </row>
    <row r="102" spans="9:26">
      <c r="K102" s="4" t="s">
        <v>105</v>
      </c>
      <c r="L102" s="4" t="s">
        <v>100</v>
      </c>
      <c r="M102" s="4">
        <f>J81</f>
        <v>47</v>
      </c>
      <c r="N102" s="4" t="s">
        <v>100</v>
      </c>
      <c r="O102" s="4">
        <f>K81</f>
        <v>13</v>
      </c>
      <c r="P102" s="4" t="s">
        <v>100</v>
      </c>
      <c r="Q102" s="4">
        <f>L81</f>
        <v>12</v>
      </c>
      <c r="R102" s="4" t="s">
        <v>100</v>
      </c>
      <c r="S102" s="4">
        <f>J82</f>
        <v>58</v>
      </c>
      <c r="T102" s="4" t="s">
        <v>100</v>
      </c>
      <c r="U102" s="4">
        <f>K82</f>
        <v>7</v>
      </c>
      <c r="V102" s="4" t="s">
        <v>100</v>
      </c>
      <c r="W102" s="4">
        <f>L82</f>
        <v>7</v>
      </c>
      <c r="X102" s="4" t="s">
        <v>100</v>
      </c>
      <c r="Y102" s="4" t="s">
        <v>102</v>
      </c>
      <c r="Z102" s="4"/>
    </row>
    <row r="103" spans="9:26">
      <c r="K103" s="4" t="s">
        <v>99</v>
      </c>
      <c r="L103" s="4" t="s">
        <v>100</v>
      </c>
      <c r="M103" s="13">
        <v>2.0200000000000001E-6</v>
      </c>
      <c r="N103" s="4"/>
      <c r="O103" s="4"/>
      <c r="P103" s="4"/>
      <c r="Q103" s="4"/>
      <c r="R103" s="4" t="s">
        <v>106</v>
      </c>
      <c r="S103" s="4"/>
      <c r="T103" s="4"/>
      <c r="U103" s="13">
        <v>5.1410000000000001E-10</v>
      </c>
      <c r="V103" s="4"/>
      <c r="W103" s="4"/>
      <c r="X103" s="4"/>
      <c r="Y103" s="4" t="s">
        <v>102</v>
      </c>
      <c r="Z103" s="4"/>
    </row>
    <row r="104" spans="9:26"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9:26"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9:26"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</sheetData>
  <mergeCells count="7">
    <mergeCell ref="M92:R92"/>
    <mergeCell ref="T92:Y92"/>
    <mergeCell ref="B2:D2"/>
    <mergeCell ref="F2:H2"/>
    <mergeCell ref="M85:AA85"/>
    <mergeCell ref="M86:S86"/>
    <mergeCell ref="T86:AA86"/>
  </mergeCells>
  <phoneticPr fontId="6" type="noConversion"/>
  <hyperlinks>
    <hyperlink ref="AB88" r:id="rId1" xr:uid="{7EA1AF18-FD76-4441-8415-0F05783EEB83}"/>
    <hyperlink ref="AB90" r:id="rId2" xr:uid="{982C5D62-C00D-436B-B723-1C7996706832}"/>
    <hyperlink ref="AB89" r:id="rId3" xr:uid="{1B3BAC38-F486-4A39-A89A-C426CA513C48}"/>
    <hyperlink ref="AB91" r:id="rId4" xr:uid="{BB93B754-B074-436F-95F2-93776375FDEF}"/>
  </hyperlinks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1F28-CB4D-4C31-944B-209D608EA77A}">
  <dimension ref="A1:Y85"/>
  <sheetViews>
    <sheetView tabSelected="1" topLeftCell="A46" workbookViewId="0">
      <selection activeCell="G96" sqref="G96"/>
    </sheetView>
  </sheetViews>
  <sheetFormatPr defaultRowHeight="14"/>
  <cols>
    <col min="1" max="16384" width="8.7265625" style="4"/>
  </cols>
  <sheetData>
    <row r="1" spans="1:25">
      <c r="C1" s="28" t="s">
        <v>0</v>
      </c>
      <c r="D1" s="28"/>
      <c r="E1" s="28"/>
      <c r="H1" s="28" t="s">
        <v>136</v>
      </c>
      <c r="I1" s="28"/>
      <c r="J1" s="28"/>
      <c r="K1" s="28"/>
    </row>
    <row r="2" spans="1:25">
      <c r="A2" s="4" t="s">
        <v>137</v>
      </c>
      <c r="C2" s="4" t="s">
        <v>3</v>
      </c>
      <c r="D2" s="4" t="s">
        <v>4</v>
      </c>
      <c r="E2" s="4" t="s">
        <v>5</v>
      </c>
      <c r="F2" s="4" t="s">
        <v>130</v>
      </c>
      <c r="H2" s="4" t="s">
        <v>131</v>
      </c>
      <c r="I2" s="4" t="s">
        <v>132</v>
      </c>
      <c r="J2" s="4" t="s">
        <v>5</v>
      </c>
      <c r="K2" s="4" t="s">
        <v>130</v>
      </c>
      <c r="L2" s="4" t="s">
        <v>138</v>
      </c>
      <c r="M2" s="4" t="s">
        <v>139</v>
      </c>
    </row>
    <row r="3" spans="1:25">
      <c r="A3" s="4">
        <f>MIN(C3,H3)</f>
        <v>5441.25</v>
      </c>
      <c r="B3" s="4" t="s">
        <v>7</v>
      </c>
      <c r="C3" s="4">
        <v>5441.25</v>
      </c>
      <c r="D3" s="4">
        <v>5441.25</v>
      </c>
      <c r="E3" s="4">
        <v>8.76</v>
      </c>
      <c r="F3" s="4">
        <v>5443.3</v>
      </c>
      <c r="H3" s="4">
        <v>5443.25</v>
      </c>
      <c r="I3" s="4">
        <v>5451.98</v>
      </c>
      <c r="J3" s="4">
        <v>54.7</v>
      </c>
      <c r="K3" s="4">
        <v>5445.34</v>
      </c>
      <c r="L3" s="4">
        <f>MIN(D3,I3)</f>
        <v>5441.25</v>
      </c>
      <c r="M3" s="4">
        <f>MIN(F3,K3)</f>
        <v>5443.3</v>
      </c>
      <c r="N3" s="4">
        <f>IF(C3&gt;$A3,0,1)</f>
        <v>1</v>
      </c>
      <c r="O3" s="4">
        <f>IF(H3&gt;$A3,0,1)</f>
        <v>0</v>
      </c>
      <c r="P3" s="4">
        <f>IF(D3&gt;$L3,0,1)</f>
        <v>1</v>
      </c>
      <c r="Q3" s="4">
        <f>IF(I3&gt;$L3,0,1)</f>
        <v>0</v>
      </c>
      <c r="R3" s="4">
        <f>IF(F3&gt;$M3,0,1)</f>
        <v>1</v>
      </c>
      <c r="S3" s="4">
        <f>IF(K3&gt;$M3,0,1)</f>
        <v>0</v>
      </c>
      <c r="V3" s="4">
        <f>IF(N3=O3,1,0)</f>
        <v>0</v>
      </c>
      <c r="Y3" s="4">
        <f>IF(P3=Q3,1,0)</f>
        <v>0</v>
      </c>
    </row>
    <row r="4" spans="1:25">
      <c r="A4" s="4">
        <f t="shared" ref="A4:A51" si="0">MIN(C4,H4)</f>
        <v>7533.59</v>
      </c>
      <c r="B4" s="4" t="s">
        <v>8</v>
      </c>
      <c r="C4" s="4">
        <v>7533.59</v>
      </c>
      <c r="D4" s="4">
        <v>7533.59</v>
      </c>
      <c r="E4" s="4">
        <v>2.09</v>
      </c>
      <c r="F4" s="4">
        <v>7528.4</v>
      </c>
      <c r="H4" s="4">
        <v>7533.59</v>
      </c>
      <c r="I4" s="4">
        <v>7533.63</v>
      </c>
      <c r="J4" s="4">
        <v>10</v>
      </c>
      <c r="K4" s="4">
        <v>7528.43</v>
      </c>
      <c r="L4" s="4">
        <f t="shared" ref="L4:L51" si="1">MIN(D4,I4)</f>
        <v>7533.59</v>
      </c>
      <c r="M4" s="4">
        <f t="shared" ref="M4:M51" si="2">MIN(F4,K4)</f>
        <v>7528.4</v>
      </c>
      <c r="N4" s="4">
        <f>IF(C4&gt;$A4,0,1)</f>
        <v>1</v>
      </c>
      <c r="O4" s="4">
        <f>IF(H4&gt;$A4,0,1)</f>
        <v>1</v>
      </c>
      <c r="P4" s="4">
        <f>IF(D4&gt;$L4,0,1)</f>
        <v>1</v>
      </c>
      <c r="Q4" s="4">
        <f t="shared" ref="Q4:Q26" si="3">IF(I4&gt;$L4,0,1)</f>
        <v>0</v>
      </c>
      <c r="R4" s="4">
        <f t="shared" ref="R4:R26" si="4">IF(F4&gt;$M4,0,1)</f>
        <v>1</v>
      </c>
      <c r="S4" s="4">
        <f t="shared" ref="S4:S26" si="5">IF(K4&gt;$M4,0,1)</f>
        <v>0</v>
      </c>
      <c r="V4" s="4">
        <f t="shared" ref="V4:V26" si="6">IF(N4=O4,1,0)</f>
        <v>1</v>
      </c>
      <c r="Y4" s="4">
        <f t="shared" ref="Y4:Y26" si="7">IF(P4=Q4,1,0)</f>
        <v>0</v>
      </c>
    </row>
    <row r="5" spans="1:25">
      <c r="A5" s="4">
        <f t="shared" si="0"/>
        <v>10019</v>
      </c>
      <c r="B5" s="4" t="s">
        <v>9</v>
      </c>
      <c r="C5" s="4">
        <v>10019</v>
      </c>
      <c r="D5" s="4">
        <v>10019</v>
      </c>
      <c r="E5" s="4">
        <v>14.54</v>
      </c>
      <c r="F5" s="4">
        <v>10019</v>
      </c>
      <c r="H5" s="4">
        <v>10023.129999999999</v>
      </c>
      <c r="I5" s="4">
        <v>10024.280000000001</v>
      </c>
      <c r="J5" s="4">
        <v>9.67</v>
      </c>
      <c r="K5" s="4">
        <v>10020.870000000001</v>
      </c>
      <c r="L5" s="4">
        <f t="shared" si="1"/>
        <v>10019</v>
      </c>
      <c r="M5" s="4">
        <f t="shared" si="2"/>
        <v>10019</v>
      </c>
      <c r="N5" s="4">
        <f t="shared" ref="N5:N26" si="8">IF(C5&gt;$A5,0,1)</f>
        <v>1</v>
      </c>
      <c r="O5" s="4">
        <f t="shared" ref="O5:O26" si="9">IF(H5&gt;$A5,0,1)</f>
        <v>0</v>
      </c>
      <c r="P5" s="4">
        <f t="shared" ref="P5:P26" si="10">IF(D5&gt;$L5,0,1)</f>
        <v>1</v>
      </c>
      <c r="Q5" s="4">
        <f t="shared" si="3"/>
        <v>0</v>
      </c>
      <c r="R5" s="4">
        <f t="shared" si="4"/>
        <v>1</v>
      </c>
      <c r="S5" s="4">
        <f t="shared" si="5"/>
        <v>0</v>
      </c>
      <c r="V5" s="4">
        <f t="shared" si="6"/>
        <v>0</v>
      </c>
      <c r="Y5" s="4">
        <f t="shared" si="7"/>
        <v>0</v>
      </c>
    </row>
    <row r="6" spans="1:25">
      <c r="A6" s="4">
        <f t="shared" si="0"/>
        <v>13226.2</v>
      </c>
      <c r="B6" s="4" t="s">
        <v>10</v>
      </c>
      <c r="C6" s="4">
        <v>13226.2</v>
      </c>
      <c r="D6" s="4">
        <v>13226.2</v>
      </c>
      <c r="E6" s="4">
        <v>42.53</v>
      </c>
      <c r="F6" s="4">
        <v>13227.1</v>
      </c>
      <c r="H6" s="4">
        <v>13235.29</v>
      </c>
      <c r="I6" s="4">
        <v>13238</v>
      </c>
      <c r="J6" s="4">
        <v>113.81</v>
      </c>
      <c r="K6" s="4">
        <v>13237.4</v>
      </c>
      <c r="L6" s="4">
        <f t="shared" si="1"/>
        <v>13226.2</v>
      </c>
      <c r="M6" s="4">
        <f t="shared" si="2"/>
        <v>13227.1</v>
      </c>
      <c r="N6" s="4">
        <f t="shared" si="8"/>
        <v>1</v>
      </c>
      <c r="O6" s="4">
        <f t="shared" si="9"/>
        <v>0</v>
      </c>
      <c r="P6" s="4">
        <f t="shared" si="10"/>
        <v>1</v>
      </c>
      <c r="Q6" s="4">
        <f t="shared" si="3"/>
        <v>0</v>
      </c>
      <c r="R6" s="4">
        <f t="shared" si="4"/>
        <v>1</v>
      </c>
      <c r="S6" s="4">
        <f t="shared" si="5"/>
        <v>0</v>
      </c>
      <c r="V6" s="4">
        <f t="shared" si="6"/>
        <v>0</v>
      </c>
      <c r="Y6" s="4">
        <f t="shared" si="7"/>
        <v>0</v>
      </c>
    </row>
    <row r="7" spans="1:25">
      <c r="A7" s="4">
        <f t="shared" si="0"/>
        <v>17695</v>
      </c>
      <c r="B7" s="4" t="s">
        <v>11</v>
      </c>
      <c r="C7" s="4">
        <v>17695</v>
      </c>
      <c r="D7" s="4">
        <v>17695</v>
      </c>
      <c r="E7" s="4">
        <v>128.78</v>
      </c>
      <c r="F7" s="4">
        <v>17695</v>
      </c>
      <c r="H7" s="4">
        <v>17695</v>
      </c>
      <c r="I7" s="4">
        <v>17695</v>
      </c>
      <c r="J7" s="4">
        <v>264.83</v>
      </c>
      <c r="K7" s="4">
        <v>17695</v>
      </c>
      <c r="L7" s="4">
        <f t="shared" si="1"/>
        <v>17695</v>
      </c>
      <c r="M7" s="4">
        <f t="shared" si="2"/>
        <v>17695</v>
      </c>
      <c r="N7" s="4">
        <f t="shared" si="8"/>
        <v>1</v>
      </c>
      <c r="O7" s="4">
        <f t="shared" si="9"/>
        <v>1</v>
      </c>
      <c r="P7" s="4">
        <f t="shared" si="10"/>
        <v>1</v>
      </c>
      <c r="Q7" s="4">
        <f t="shared" si="3"/>
        <v>1</v>
      </c>
      <c r="R7" s="4">
        <f t="shared" si="4"/>
        <v>1</v>
      </c>
      <c r="S7" s="4">
        <f t="shared" si="5"/>
        <v>1</v>
      </c>
      <c r="V7" s="4">
        <f t="shared" si="6"/>
        <v>1</v>
      </c>
      <c r="Y7" s="4">
        <f t="shared" si="7"/>
        <v>1</v>
      </c>
    </row>
    <row r="8" spans="1:25">
      <c r="A8" s="4">
        <f t="shared" si="0"/>
        <v>17805.75</v>
      </c>
      <c r="B8" s="4" t="s">
        <v>12</v>
      </c>
      <c r="C8" s="4">
        <v>17805.75</v>
      </c>
      <c r="D8" s="4">
        <v>17805.75</v>
      </c>
      <c r="E8" s="4">
        <v>176.61</v>
      </c>
      <c r="F8" s="4">
        <v>17794.8</v>
      </c>
      <c r="H8" s="4">
        <v>17805.75</v>
      </c>
      <c r="I8" s="4">
        <v>17806.099999999999</v>
      </c>
      <c r="J8" s="4">
        <v>463.36</v>
      </c>
      <c r="K8" s="4">
        <v>17794.759999999998</v>
      </c>
      <c r="L8" s="4">
        <f t="shared" si="1"/>
        <v>17805.75</v>
      </c>
      <c r="M8" s="4">
        <f t="shared" si="2"/>
        <v>17794.759999999998</v>
      </c>
      <c r="N8" s="4">
        <f t="shared" si="8"/>
        <v>1</v>
      </c>
      <c r="O8" s="4">
        <f t="shared" si="9"/>
        <v>1</v>
      </c>
      <c r="P8" s="4">
        <f t="shared" si="10"/>
        <v>1</v>
      </c>
      <c r="Q8" s="4">
        <f t="shared" si="3"/>
        <v>0</v>
      </c>
      <c r="R8" s="4">
        <f t="shared" si="4"/>
        <v>0</v>
      </c>
      <c r="S8" s="4">
        <f t="shared" si="5"/>
        <v>1</v>
      </c>
      <c r="V8" s="4">
        <f t="shared" si="6"/>
        <v>1</v>
      </c>
      <c r="Y8" s="4">
        <f t="shared" si="7"/>
        <v>0</v>
      </c>
    </row>
    <row r="9" spans="1:25">
      <c r="A9" s="4">
        <f t="shared" si="0"/>
        <v>70463.509999999995</v>
      </c>
      <c r="B9" s="4" t="s">
        <v>13</v>
      </c>
      <c r="C9" s="4">
        <v>70463.509999999995</v>
      </c>
      <c r="D9" s="4">
        <v>70464.31</v>
      </c>
      <c r="E9" s="4">
        <v>968.3</v>
      </c>
      <c r="F9" s="4">
        <v>70465.899999999994</v>
      </c>
      <c r="H9" s="4">
        <v>70469.78</v>
      </c>
      <c r="I9" s="4">
        <v>70472.22</v>
      </c>
      <c r="J9" s="4">
        <v>673.77</v>
      </c>
      <c r="K9" s="4">
        <v>70471.27</v>
      </c>
      <c r="L9" s="4">
        <f t="shared" si="1"/>
        <v>70464.31</v>
      </c>
      <c r="M9" s="4">
        <f t="shared" si="2"/>
        <v>70465.899999999994</v>
      </c>
      <c r="N9" s="4">
        <f t="shared" si="8"/>
        <v>1</v>
      </c>
      <c r="O9" s="4">
        <f t="shared" si="9"/>
        <v>0</v>
      </c>
      <c r="P9" s="4">
        <f t="shared" si="10"/>
        <v>1</v>
      </c>
      <c r="Q9" s="4">
        <f t="shared" si="3"/>
        <v>0</v>
      </c>
      <c r="R9" s="4">
        <f t="shared" si="4"/>
        <v>1</v>
      </c>
      <c r="S9" s="4">
        <f t="shared" si="5"/>
        <v>0</v>
      </c>
      <c r="V9" s="4">
        <f t="shared" si="6"/>
        <v>0</v>
      </c>
      <c r="Y9" s="4">
        <f t="shared" si="7"/>
        <v>0</v>
      </c>
    </row>
    <row r="10" spans="1:25">
      <c r="A10" s="4">
        <f t="shared" si="0"/>
        <v>35221.33</v>
      </c>
      <c r="B10" s="4" t="s">
        <v>14</v>
      </c>
      <c r="C10" s="4">
        <v>35221.33</v>
      </c>
      <c r="D10" s="4">
        <v>35222.379999999997</v>
      </c>
      <c r="E10" s="4">
        <v>1192.27</v>
      </c>
      <c r="F10" s="4">
        <v>35227.199999999997</v>
      </c>
      <c r="H10" s="4">
        <v>35225.629999999997</v>
      </c>
      <c r="I10" s="4">
        <v>35232.44</v>
      </c>
      <c r="J10" s="4">
        <v>1276.21</v>
      </c>
      <c r="K10" s="4">
        <v>35234.07</v>
      </c>
      <c r="L10" s="4">
        <f t="shared" si="1"/>
        <v>35222.379999999997</v>
      </c>
      <c r="M10" s="4">
        <f t="shared" si="2"/>
        <v>35227.199999999997</v>
      </c>
      <c r="N10" s="4">
        <f t="shared" si="8"/>
        <v>1</v>
      </c>
      <c r="O10" s="4">
        <f t="shared" si="9"/>
        <v>0</v>
      </c>
      <c r="P10" s="4">
        <f t="shared" si="10"/>
        <v>1</v>
      </c>
      <c r="Q10" s="4">
        <f t="shared" si="3"/>
        <v>0</v>
      </c>
      <c r="R10" s="4">
        <f t="shared" si="4"/>
        <v>1</v>
      </c>
      <c r="S10" s="4">
        <f t="shared" si="5"/>
        <v>0</v>
      </c>
      <c r="V10" s="4">
        <f t="shared" si="6"/>
        <v>0</v>
      </c>
      <c r="Y10" s="4">
        <f t="shared" si="7"/>
        <v>0</v>
      </c>
    </row>
    <row r="11" spans="1:25">
      <c r="A11" s="4">
        <f t="shared" si="0"/>
        <v>65003.48</v>
      </c>
      <c r="B11" s="4" t="s">
        <v>15</v>
      </c>
      <c r="C11" s="4">
        <v>65003.48</v>
      </c>
      <c r="D11" s="4">
        <v>65003.48</v>
      </c>
      <c r="E11" s="4">
        <v>304.02</v>
      </c>
      <c r="F11" s="4">
        <v>65050.5</v>
      </c>
      <c r="H11" s="4">
        <v>65004.01</v>
      </c>
      <c r="I11" s="4">
        <v>65004.57</v>
      </c>
      <c r="J11" s="4">
        <v>862.57</v>
      </c>
      <c r="K11" s="4">
        <v>65011.39</v>
      </c>
      <c r="L11" s="4">
        <f t="shared" si="1"/>
        <v>65003.48</v>
      </c>
      <c r="M11" s="4">
        <f t="shared" si="2"/>
        <v>65011.39</v>
      </c>
      <c r="N11" s="4">
        <f t="shared" si="8"/>
        <v>1</v>
      </c>
      <c r="O11" s="4">
        <f t="shared" si="9"/>
        <v>0</v>
      </c>
      <c r="P11" s="4">
        <f t="shared" si="10"/>
        <v>1</v>
      </c>
      <c r="Q11" s="4">
        <f t="shared" si="3"/>
        <v>0</v>
      </c>
      <c r="R11" s="4">
        <f t="shared" si="4"/>
        <v>0</v>
      </c>
      <c r="S11" s="4">
        <f t="shared" si="5"/>
        <v>1</v>
      </c>
      <c r="V11" s="4">
        <f t="shared" si="6"/>
        <v>0</v>
      </c>
      <c r="Y11" s="4">
        <f t="shared" si="7"/>
        <v>0</v>
      </c>
    </row>
    <row r="12" spans="1:25">
      <c r="A12" s="4">
        <f t="shared" si="0"/>
        <v>63293.84</v>
      </c>
      <c r="B12" s="4" t="s">
        <v>16</v>
      </c>
      <c r="C12" s="4">
        <v>63293.84</v>
      </c>
      <c r="D12" s="4">
        <v>63297.9</v>
      </c>
      <c r="E12" s="4">
        <v>829.87</v>
      </c>
      <c r="F12" s="4">
        <v>63297</v>
      </c>
      <c r="H12" s="4">
        <v>63299.55</v>
      </c>
      <c r="I12" s="4">
        <v>63330.94</v>
      </c>
      <c r="J12" s="4">
        <v>1247.78</v>
      </c>
      <c r="K12" s="4">
        <v>63303.64</v>
      </c>
      <c r="L12" s="4">
        <f t="shared" si="1"/>
        <v>63297.9</v>
      </c>
      <c r="M12" s="4">
        <f t="shared" si="2"/>
        <v>63297</v>
      </c>
      <c r="N12" s="4">
        <f t="shared" si="8"/>
        <v>1</v>
      </c>
      <c r="O12" s="4">
        <f t="shared" si="9"/>
        <v>0</v>
      </c>
      <c r="P12" s="4">
        <f t="shared" si="10"/>
        <v>1</v>
      </c>
      <c r="Q12" s="4">
        <f t="shared" si="3"/>
        <v>0</v>
      </c>
      <c r="R12" s="4">
        <f t="shared" si="4"/>
        <v>1</v>
      </c>
      <c r="S12" s="4">
        <f t="shared" si="5"/>
        <v>0</v>
      </c>
      <c r="V12" s="4">
        <f t="shared" si="6"/>
        <v>0</v>
      </c>
      <c r="Y12" s="4">
        <f t="shared" si="7"/>
        <v>0</v>
      </c>
    </row>
    <row r="13" spans="1:25">
      <c r="A13" s="4">
        <f t="shared" si="0"/>
        <v>53201.45</v>
      </c>
      <c r="B13" s="4" t="s">
        <v>17</v>
      </c>
      <c r="C13" s="4">
        <v>53201.45</v>
      </c>
      <c r="D13" s="4">
        <v>53207.38</v>
      </c>
      <c r="E13" s="4">
        <v>1145.47</v>
      </c>
      <c r="F13" s="4">
        <v>53200.2</v>
      </c>
      <c r="H13" s="4">
        <v>53230.09</v>
      </c>
      <c r="I13" s="4">
        <v>53246.59</v>
      </c>
      <c r="J13" s="4">
        <v>1573.86</v>
      </c>
      <c r="K13" s="4">
        <v>53236.26</v>
      </c>
      <c r="L13" s="4">
        <f t="shared" si="1"/>
        <v>53207.38</v>
      </c>
      <c r="M13" s="4">
        <f t="shared" si="2"/>
        <v>53200.2</v>
      </c>
      <c r="N13" s="4">
        <f t="shared" si="8"/>
        <v>1</v>
      </c>
      <c r="O13" s="4">
        <f t="shared" si="9"/>
        <v>0</v>
      </c>
      <c r="P13" s="4">
        <f t="shared" si="10"/>
        <v>1</v>
      </c>
      <c r="Q13" s="4">
        <f t="shared" si="3"/>
        <v>0</v>
      </c>
      <c r="R13" s="4">
        <f t="shared" si="4"/>
        <v>1</v>
      </c>
      <c r="S13" s="4">
        <f t="shared" si="5"/>
        <v>0</v>
      </c>
      <c r="V13" s="4">
        <f t="shared" si="6"/>
        <v>0</v>
      </c>
      <c r="Y13" s="4">
        <f t="shared" si="7"/>
        <v>0</v>
      </c>
    </row>
    <row r="14" spans="1:25">
      <c r="A14" s="4">
        <f t="shared" si="0"/>
        <v>61352.43</v>
      </c>
      <c r="B14" s="4" t="s">
        <v>18</v>
      </c>
      <c r="C14" s="4">
        <v>61352.43</v>
      </c>
      <c r="D14" s="4">
        <v>61359.5</v>
      </c>
      <c r="E14" s="4">
        <v>1062.79</v>
      </c>
      <c r="F14" s="4">
        <v>61362.3</v>
      </c>
      <c r="H14" s="4">
        <v>61402.29</v>
      </c>
      <c r="I14" s="4">
        <v>61661.85</v>
      </c>
      <c r="J14" s="4">
        <v>1613.7</v>
      </c>
      <c r="K14" s="4">
        <v>61423.51</v>
      </c>
      <c r="L14" s="4">
        <f t="shared" si="1"/>
        <v>61359.5</v>
      </c>
      <c r="M14" s="4">
        <f t="shared" si="2"/>
        <v>61362.3</v>
      </c>
      <c r="N14" s="4">
        <f t="shared" si="8"/>
        <v>1</v>
      </c>
      <c r="O14" s="4">
        <f t="shared" si="9"/>
        <v>0</v>
      </c>
      <c r="P14" s="4">
        <f t="shared" si="10"/>
        <v>1</v>
      </c>
      <c r="Q14" s="4">
        <f t="shared" si="3"/>
        <v>0</v>
      </c>
      <c r="R14" s="4">
        <f t="shared" si="4"/>
        <v>1</v>
      </c>
      <c r="S14" s="4">
        <f t="shared" si="5"/>
        <v>0</v>
      </c>
      <c r="V14" s="4">
        <f t="shared" si="6"/>
        <v>0</v>
      </c>
      <c r="Y14" s="4">
        <f t="shared" si="7"/>
        <v>0</v>
      </c>
    </row>
    <row r="15" spans="1:25">
      <c r="A15" s="4">
        <f t="shared" si="0"/>
        <v>88253.35</v>
      </c>
      <c r="B15" s="4" t="s">
        <v>19</v>
      </c>
      <c r="C15" s="4">
        <v>88253.35</v>
      </c>
      <c r="D15" s="4">
        <v>88419.96</v>
      </c>
      <c r="E15" s="4">
        <v>1475.47</v>
      </c>
      <c r="F15" s="4">
        <v>88276.9</v>
      </c>
      <c r="H15" s="4">
        <v>88648.51</v>
      </c>
      <c r="I15" s="4">
        <v>88727.81</v>
      </c>
      <c r="J15" s="4">
        <v>1630.2</v>
      </c>
      <c r="K15" s="4">
        <v>88651.55</v>
      </c>
      <c r="L15" s="4">
        <f t="shared" si="1"/>
        <v>88419.96</v>
      </c>
      <c r="M15" s="4">
        <f t="shared" si="2"/>
        <v>88276.9</v>
      </c>
      <c r="N15" s="4">
        <f t="shared" si="8"/>
        <v>1</v>
      </c>
      <c r="O15" s="4">
        <f t="shared" si="9"/>
        <v>0</v>
      </c>
      <c r="P15" s="4">
        <f t="shared" si="10"/>
        <v>1</v>
      </c>
      <c r="Q15" s="4">
        <f t="shared" si="3"/>
        <v>0</v>
      </c>
      <c r="R15" s="4">
        <f t="shared" si="4"/>
        <v>1</v>
      </c>
      <c r="S15" s="4">
        <f t="shared" si="5"/>
        <v>0</v>
      </c>
      <c r="V15" s="4">
        <f t="shared" si="6"/>
        <v>0</v>
      </c>
      <c r="Y15" s="4">
        <f t="shared" si="7"/>
        <v>0</v>
      </c>
    </row>
    <row r="16" spans="1:25">
      <c r="A16" s="4">
        <f t="shared" si="0"/>
        <v>83443.56</v>
      </c>
      <c r="B16" s="4" t="s">
        <v>20</v>
      </c>
      <c r="C16" s="4">
        <v>83443.56</v>
      </c>
      <c r="D16" s="4">
        <v>83487.839999999997</v>
      </c>
      <c r="E16" s="4">
        <v>1415.68</v>
      </c>
      <c r="F16" s="4">
        <v>83429.3</v>
      </c>
      <c r="H16" s="4">
        <v>83738.080000000002</v>
      </c>
      <c r="I16" s="4">
        <v>83816.83</v>
      </c>
      <c r="J16" s="4">
        <v>1448.59</v>
      </c>
      <c r="K16" s="4">
        <v>83713.27</v>
      </c>
      <c r="L16" s="4">
        <f t="shared" si="1"/>
        <v>83487.839999999997</v>
      </c>
      <c r="M16" s="4">
        <f t="shared" si="2"/>
        <v>83429.3</v>
      </c>
      <c r="N16" s="4">
        <f t="shared" si="8"/>
        <v>1</v>
      </c>
      <c r="O16" s="4">
        <f t="shared" si="9"/>
        <v>0</v>
      </c>
      <c r="P16" s="4">
        <f t="shared" si="10"/>
        <v>1</v>
      </c>
      <c r="Q16" s="4">
        <f t="shared" si="3"/>
        <v>0</v>
      </c>
      <c r="R16" s="4">
        <f t="shared" si="4"/>
        <v>1</v>
      </c>
      <c r="S16" s="4">
        <f t="shared" si="5"/>
        <v>0</v>
      </c>
      <c r="V16" s="4">
        <f t="shared" si="6"/>
        <v>0</v>
      </c>
      <c r="Y16" s="4">
        <f t="shared" si="7"/>
        <v>0</v>
      </c>
    </row>
    <row r="17" spans="1:25">
      <c r="A17" s="4">
        <f t="shared" si="0"/>
        <v>107222.34</v>
      </c>
      <c r="B17" s="4" t="s">
        <v>21</v>
      </c>
      <c r="C17" s="4">
        <v>107222.34</v>
      </c>
      <c r="D17" s="4">
        <v>107306.55</v>
      </c>
      <c r="E17" s="4">
        <v>1623.5</v>
      </c>
      <c r="F17" s="4">
        <v>107293.3</v>
      </c>
      <c r="H17" s="4">
        <v>107695.97</v>
      </c>
      <c r="I17" s="4">
        <v>107896.96000000001</v>
      </c>
      <c r="J17" s="4">
        <v>1165.52</v>
      </c>
      <c r="K17" s="4">
        <v>107775.97</v>
      </c>
      <c r="L17" s="4">
        <f t="shared" si="1"/>
        <v>107306.55</v>
      </c>
      <c r="M17" s="4">
        <f t="shared" si="2"/>
        <v>107293.3</v>
      </c>
      <c r="N17" s="4">
        <f t="shared" si="8"/>
        <v>1</v>
      </c>
      <c r="O17" s="4">
        <f t="shared" si="9"/>
        <v>0</v>
      </c>
      <c r="P17" s="4">
        <f t="shared" si="10"/>
        <v>1</v>
      </c>
      <c r="Q17" s="4">
        <f t="shared" si="3"/>
        <v>0</v>
      </c>
      <c r="R17" s="4">
        <f t="shared" si="4"/>
        <v>1</v>
      </c>
      <c r="S17" s="4">
        <f t="shared" si="5"/>
        <v>0</v>
      </c>
      <c r="V17" s="4">
        <f t="shared" si="6"/>
        <v>0</v>
      </c>
      <c r="Y17" s="4">
        <f t="shared" si="7"/>
        <v>0</v>
      </c>
    </row>
    <row r="18" spans="1:25">
      <c r="A18" s="4">
        <f t="shared" si="0"/>
        <v>118623.58</v>
      </c>
      <c r="B18" s="4" t="s">
        <v>22</v>
      </c>
      <c r="C18" s="4">
        <v>118623.58</v>
      </c>
      <c r="D18" s="4">
        <v>118892.14</v>
      </c>
      <c r="E18" s="4">
        <v>1577.57</v>
      </c>
      <c r="F18" s="4">
        <v>118657</v>
      </c>
      <c r="H18" s="4">
        <v>119199.77</v>
      </c>
      <c r="I18" s="4">
        <v>119409.55</v>
      </c>
      <c r="J18" s="4">
        <v>1397.83</v>
      </c>
      <c r="K18" s="4">
        <v>119203.05</v>
      </c>
      <c r="L18" s="4">
        <f t="shared" si="1"/>
        <v>118892.14</v>
      </c>
      <c r="M18" s="4">
        <f t="shared" si="2"/>
        <v>118657</v>
      </c>
      <c r="N18" s="4">
        <f t="shared" si="8"/>
        <v>1</v>
      </c>
      <c r="O18" s="4">
        <f t="shared" si="9"/>
        <v>0</v>
      </c>
      <c r="P18" s="4">
        <f t="shared" si="10"/>
        <v>1</v>
      </c>
      <c r="Q18" s="4">
        <f t="shared" si="3"/>
        <v>0</v>
      </c>
      <c r="R18" s="4">
        <f t="shared" si="4"/>
        <v>1</v>
      </c>
      <c r="S18" s="4">
        <f t="shared" si="5"/>
        <v>0</v>
      </c>
      <c r="V18" s="4">
        <f t="shared" si="6"/>
        <v>0</v>
      </c>
      <c r="Y18" s="4">
        <f t="shared" si="7"/>
        <v>0</v>
      </c>
    </row>
    <row r="19" spans="1:25">
      <c r="A19" s="4">
        <f t="shared" si="0"/>
        <v>259656.7</v>
      </c>
      <c r="B19" s="4" t="s">
        <v>23</v>
      </c>
      <c r="C19" s="4">
        <v>259656.7</v>
      </c>
      <c r="D19" s="4">
        <v>259869.59</v>
      </c>
      <c r="E19" s="4">
        <v>1653.67</v>
      </c>
      <c r="F19" s="4">
        <v>259652.1</v>
      </c>
      <c r="H19" s="4">
        <v>260146.05</v>
      </c>
      <c r="I19" s="4">
        <v>260222.11</v>
      </c>
      <c r="J19" s="4">
        <v>661.73</v>
      </c>
      <c r="K19" s="4">
        <v>260141.69</v>
      </c>
      <c r="L19" s="4">
        <f t="shared" si="1"/>
        <v>259869.59</v>
      </c>
      <c r="M19" s="4">
        <f t="shared" si="2"/>
        <v>259652.1</v>
      </c>
      <c r="N19" s="4">
        <f t="shared" si="8"/>
        <v>1</v>
      </c>
      <c r="O19" s="4">
        <f t="shared" si="9"/>
        <v>0</v>
      </c>
      <c r="P19" s="4">
        <f t="shared" si="10"/>
        <v>1</v>
      </c>
      <c r="Q19" s="4">
        <f t="shared" si="3"/>
        <v>0</v>
      </c>
      <c r="R19" s="4">
        <f t="shared" si="4"/>
        <v>1</v>
      </c>
      <c r="S19" s="4">
        <f t="shared" si="5"/>
        <v>0</v>
      </c>
      <c r="V19" s="4">
        <f t="shared" si="6"/>
        <v>0</v>
      </c>
      <c r="Y19" s="4">
        <f t="shared" si="7"/>
        <v>0</v>
      </c>
    </row>
    <row r="20" spans="1:25">
      <c r="A20" s="4">
        <f t="shared" si="0"/>
        <v>168321.2</v>
      </c>
      <c r="B20" s="4" t="s">
        <v>24</v>
      </c>
      <c r="C20" s="4">
        <v>168321.2</v>
      </c>
      <c r="D20" s="4">
        <v>168378.93</v>
      </c>
      <c r="E20" s="4">
        <v>1522.26</v>
      </c>
      <c r="F20" s="4">
        <v>168355.20000000001</v>
      </c>
      <c r="H20" s="4">
        <v>168857.9</v>
      </c>
      <c r="I20" s="4">
        <v>169321.56</v>
      </c>
      <c r="J20" s="4">
        <v>1086.3</v>
      </c>
      <c r="K20" s="4">
        <v>168860.44</v>
      </c>
      <c r="L20" s="4">
        <f t="shared" si="1"/>
        <v>168378.93</v>
      </c>
      <c r="M20" s="4">
        <f t="shared" si="2"/>
        <v>168355.20000000001</v>
      </c>
      <c r="N20" s="4">
        <f t="shared" si="8"/>
        <v>1</v>
      </c>
      <c r="O20" s="4">
        <f t="shared" si="9"/>
        <v>0</v>
      </c>
      <c r="P20" s="4">
        <f t="shared" si="10"/>
        <v>1</v>
      </c>
      <c r="Q20" s="4">
        <f t="shared" si="3"/>
        <v>0</v>
      </c>
      <c r="R20" s="4">
        <f t="shared" si="4"/>
        <v>1</v>
      </c>
      <c r="S20" s="4">
        <f t="shared" si="5"/>
        <v>0</v>
      </c>
      <c r="V20" s="4">
        <f t="shared" si="6"/>
        <v>0</v>
      </c>
      <c r="Y20" s="4">
        <f t="shared" si="7"/>
        <v>0</v>
      </c>
    </row>
    <row r="21" spans="1:25">
      <c r="A21" s="4">
        <f t="shared" si="0"/>
        <v>256174.84</v>
      </c>
      <c r="B21" s="4" t="s">
        <v>25</v>
      </c>
      <c r="C21" s="4">
        <v>256174.84</v>
      </c>
      <c r="D21" s="4">
        <v>256684.28</v>
      </c>
      <c r="E21" s="4">
        <v>1603.11</v>
      </c>
      <c r="F21" s="4">
        <v>256202</v>
      </c>
      <c r="H21" s="4">
        <v>258085.34</v>
      </c>
      <c r="I21" s="4">
        <v>258669.14</v>
      </c>
      <c r="J21" s="4">
        <v>1086.0899999999999</v>
      </c>
      <c r="K21" s="4">
        <v>258129.4</v>
      </c>
      <c r="L21" s="4">
        <f t="shared" si="1"/>
        <v>256684.28</v>
      </c>
      <c r="M21" s="4">
        <f t="shared" si="2"/>
        <v>256202</v>
      </c>
      <c r="N21" s="4">
        <f t="shared" si="8"/>
        <v>1</v>
      </c>
      <c r="O21" s="4">
        <f t="shared" si="9"/>
        <v>0</v>
      </c>
      <c r="P21" s="4">
        <f t="shared" si="10"/>
        <v>1</v>
      </c>
      <c r="Q21" s="4">
        <f t="shared" si="3"/>
        <v>0</v>
      </c>
      <c r="R21" s="4">
        <f t="shared" si="4"/>
        <v>1</v>
      </c>
      <c r="S21" s="4">
        <f t="shared" si="5"/>
        <v>0</v>
      </c>
      <c r="V21" s="4">
        <f t="shared" si="6"/>
        <v>0</v>
      </c>
      <c r="Y21" s="4">
        <f t="shared" si="7"/>
        <v>0</v>
      </c>
    </row>
    <row r="22" spans="1:25">
      <c r="A22" s="4">
        <f t="shared" si="0"/>
        <v>258497.09</v>
      </c>
      <c r="B22" s="4" t="s">
        <v>26</v>
      </c>
      <c r="C22" s="4">
        <v>258497.09</v>
      </c>
      <c r="D22" s="4">
        <v>258632.3</v>
      </c>
      <c r="E22" s="4">
        <v>1644.68</v>
      </c>
      <c r="F22" s="4">
        <v>258447.2</v>
      </c>
      <c r="H22" s="4">
        <v>260783.53</v>
      </c>
      <c r="I22" s="4">
        <v>261663.17</v>
      </c>
      <c r="J22" s="4">
        <v>966.26</v>
      </c>
      <c r="K22" s="4">
        <v>260765.71</v>
      </c>
      <c r="L22" s="4">
        <f t="shared" si="1"/>
        <v>258632.3</v>
      </c>
      <c r="M22" s="4">
        <f t="shared" si="2"/>
        <v>258447.2</v>
      </c>
      <c r="N22" s="4">
        <f t="shared" si="8"/>
        <v>1</v>
      </c>
      <c r="O22" s="4">
        <f t="shared" si="9"/>
        <v>0</v>
      </c>
      <c r="P22" s="4">
        <f t="shared" si="10"/>
        <v>1</v>
      </c>
      <c r="Q22" s="4">
        <f t="shared" si="3"/>
        <v>0</v>
      </c>
      <c r="R22" s="4">
        <f t="shared" si="4"/>
        <v>1</v>
      </c>
      <c r="S22" s="4">
        <f t="shared" si="5"/>
        <v>0</v>
      </c>
      <c r="V22" s="4">
        <f t="shared" si="6"/>
        <v>0</v>
      </c>
      <c r="Y22" s="4">
        <f t="shared" si="7"/>
        <v>0</v>
      </c>
    </row>
    <row r="23" spans="1:25">
      <c r="A23" s="4">
        <f t="shared" si="0"/>
        <v>554099.42000000004</v>
      </c>
      <c r="B23" s="4" t="s">
        <v>27</v>
      </c>
      <c r="C23" s="4">
        <v>554099.42000000004</v>
      </c>
      <c r="D23" s="4">
        <v>554848.92000000004</v>
      </c>
      <c r="E23" s="4">
        <v>1300.46</v>
      </c>
      <c r="F23" s="4">
        <v>554057.4</v>
      </c>
      <c r="H23" s="4">
        <v>555576.88</v>
      </c>
      <c r="I23" s="4">
        <v>556374.76</v>
      </c>
      <c r="J23" s="4">
        <v>1380.43</v>
      </c>
      <c r="K23" s="4">
        <v>555483.18000000005</v>
      </c>
      <c r="L23" s="4">
        <f t="shared" si="1"/>
        <v>554848.92000000004</v>
      </c>
      <c r="M23" s="4">
        <f t="shared" si="2"/>
        <v>554057.4</v>
      </c>
      <c r="N23" s="4">
        <f t="shared" si="8"/>
        <v>1</v>
      </c>
      <c r="O23" s="4">
        <f t="shared" si="9"/>
        <v>0</v>
      </c>
      <c r="P23" s="4">
        <f t="shared" si="10"/>
        <v>1</v>
      </c>
      <c r="Q23" s="4">
        <f t="shared" si="3"/>
        <v>0</v>
      </c>
      <c r="R23" s="4">
        <f t="shared" si="4"/>
        <v>1</v>
      </c>
      <c r="S23" s="4">
        <f t="shared" si="5"/>
        <v>0</v>
      </c>
      <c r="V23" s="4">
        <f t="shared" si="6"/>
        <v>0</v>
      </c>
      <c r="Y23" s="4">
        <f t="shared" si="7"/>
        <v>0</v>
      </c>
    </row>
    <row r="24" spans="1:25">
      <c r="A24" s="4">
        <f t="shared" si="0"/>
        <v>373005.98</v>
      </c>
      <c r="B24" s="4" t="s">
        <v>28</v>
      </c>
      <c r="C24" s="4">
        <v>373005.98</v>
      </c>
      <c r="D24" s="4">
        <v>374262.99</v>
      </c>
      <c r="E24" s="4">
        <v>1365.15</v>
      </c>
      <c r="F24" s="4">
        <v>373042.9</v>
      </c>
      <c r="H24" s="4">
        <v>377562.92</v>
      </c>
      <c r="I24" s="4">
        <v>378642.21</v>
      </c>
      <c r="J24" s="4">
        <v>1804.91</v>
      </c>
      <c r="K24" s="4">
        <v>377586.2</v>
      </c>
      <c r="L24" s="4">
        <f t="shared" si="1"/>
        <v>374262.99</v>
      </c>
      <c r="M24" s="4">
        <f t="shared" si="2"/>
        <v>373042.9</v>
      </c>
      <c r="N24" s="4">
        <f t="shared" si="8"/>
        <v>1</v>
      </c>
      <c r="O24" s="4">
        <f t="shared" si="9"/>
        <v>0</v>
      </c>
      <c r="P24" s="4">
        <f t="shared" si="10"/>
        <v>1</v>
      </c>
      <c r="Q24" s="4">
        <f t="shared" si="3"/>
        <v>0</v>
      </c>
      <c r="R24" s="4">
        <f t="shared" si="4"/>
        <v>1</v>
      </c>
      <c r="S24" s="4">
        <f t="shared" si="5"/>
        <v>0</v>
      </c>
      <c r="V24" s="4">
        <f t="shared" si="6"/>
        <v>0</v>
      </c>
      <c r="Y24" s="4">
        <f t="shared" si="7"/>
        <v>0</v>
      </c>
    </row>
    <row r="25" spans="1:25">
      <c r="A25" s="4">
        <f t="shared" si="0"/>
        <v>773276.74</v>
      </c>
      <c r="B25" s="4" t="s">
        <v>29</v>
      </c>
      <c r="C25" s="4">
        <v>773276.74</v>
      </c>
      <c r="D25" s="4">
        <v>774292.47</v>
      </c>
      <c r="E25" s="4">
        <v>620.95000000000005</v>
      </c>
      <c r="F25" s="4">
        <v>773151.4</v>
      </c>
      <c r="H25" s="4">
        <v>777694.32</v>
      </c>
      <c r="I25" s="4">
        <v>780455.88</v>
      </c>
      <c r="J25" s="4">
        <v>1843.78</v>
      </c>
      <c r="K25" s="4">
        <v>777619.84</v>
      </c>
      <c r="L25" s="4">
        <f t="shared" si="1"/>
        <v>774292.47</v>
      </c>
      <c r="M25" s="4">
        <f t="shared" si="2"/>
        <v>773151.4</v>
      </c>
      <c r="N25" s="4">
        <f t="shared" si="8"/>
        <v>1</v>
      </c>
      <c r="O25" s="4">
        <f t="shared" si="9"/>
        <v>0</v>
      </c>
      <c r="P25" s="4">
        <f t="shared" si="10"/>
        <v>1</v>
      </c>
      <c r="Q25" s="4">
        <f t="shared" si="3"/>
        <v>0</v>
      </c>
      <c r="R25" s="4">
        <f t="shared" si="4"/>
        <v>1</v>
      </c>
      <c r="S25" s="4">
        <f t="shared" si="5"/>
        <v>0</v>
      </c>
      <c r="V25" s="4">
        <f t="shared" si="6"/>
        <v>0</v>
      </c>
      <c r="Y25" s="4">
        <f t="shared" si="7"/>
        <v>0</v>
      </c>
    </row>
    <row r="26" spans="1:25">
      <c r="A26" s="4">
        <f t="shared" si="0"/>
        <v>749159.93</v>
      </c>
      <c r="B26" s="4" t="s">
        <v>30</v>
      </c>
      <c r="C26" s="4">
        <v>749159.93</v>
      </c>
      <c r="D26" s="4">
        <v>751312.57</v>
      </c>
      <c r="E26" s="4">
        <v>1347.21</v>
      </c>
      <c r="F26" s="4">
        <v>749120</v>
      </c>
      <c r="H26" s="4">
        <v>771094.61</v>
      </c>
      <c r="I26" s="4">
        <v>778248.79</v>
      </c>
      <c r="J26" s="4">
        <v>1846.04</v>
      </c>
      <c r="K26" s="4">
        <v>771132.21</v>
      </c>
      <c r="L26" s="4">
        <f t="shared" si="1"/>
        <v>751312.57</v>
      </c>
      <c r="M26" s="4">
        <f t="shared" si="2"/>
        <v>749120</v>
      </c>
      <c r="N26" s="4">
        <f t="shared" si="8"/>
        <v>1</v>
      </c>
      <c r="O26" s="4">
        <f t="shared" si="9"/>
        <v>0</v>
      </c>
      <c r="P26" s="4">
        <f t="shared" si="10"/>
        <v>1</v>
      </c>
      <c r="Q26" s="4">
        <f t="shared" si="3"/>
        <v>0</v>
      </c>
      <c r="R26" s="4">
        <f t="shared" si="4"/>
        <v>1</v>
      </c>
      <c r="S26" s="4">
        <f t="shared" si="5"/>
        <v>0</v>
      </c>
      <c r="V26" s="4">
        <f t="shared" si="6"/>
        <v>0</v>
      </c>
      <c r="Y26" s="4">
        <f t="shared" si="7"/>
        <v>0</v>
      </c>
    </row>
    <row r="27" spans="1:25">
      <c r="T27" s="4">
        <f>SUM(N3:N26)</f>
        <v>24</v>
      </c>
      <c r="U27" s="4">
        <f>SUM(O3:O26)</f>
        <v>3</v>
      </c>
      <c r="V27" s="4">
        <f>SUM(V3:V26)</f>
        <v>3</v>
      </c>
      <c r="W27" s="4">
        <f>SUM(P3:P26)</f>
        <v>24</v>
      </c>
      <c r="X27" s="4">
        <f>SUM(Q3:Q26)</f>
        <v>1</v>
      </c>
      <c r="Y27" s="4">
        <f>SUM(Y3:Y26)</f>
        <v>1</v>
      </c>
    </row>
    <row r="28" spans="1:25">
      <c r="A28" s="4">
        <f t="shared" si="0"/>
        <v>17588.009999999998</v>
      </c>
      <c r="B28" s="4" t="s">
        <v>31</v>
      </c>
      <c r="C28" s="4">
        <v>17588.009999999998</v>
      </c>
      <c r="D28" s="4">
        <v>17588.009999999998</v>
      </c>
      <c r="E28" s="4">
        <v>24.11</v>
      </c>
      <c r="F28" s="4">
        <v>17568.7</v>
      </c>
      <c r="H28" s="4">
        <v>17588.52</v>
      </c>
      <c r="I28" s="4">
        <v>17588.52</v>
      </c>
      <c r="J28" s="4">
        <v>65.81</v>
      </c>
      <c r="K28" s="4">
        <v>17567.919999999998</v>
      </c>
      <c r="L28" s="4">
        <f t="shared" si="1"/>
        <v>17588.009999999998</v>
      </c>
      <c r="M28" s="4">
        <f t="shared" si="2"/>
        <v>17567.919999999998</v>
      </c>
      <c r="N28" s="4">
        <f>IF(C28&gt;$A28,0,1)</f>
        <v>1</v>
      </c>
      <c r="O28" s="4">
        <f>IF(H28&gt;$A28,0,1)</f>
        <v>0</v>
      </c>
      <c r="P28" s="4">
        <f>IF(D28&gt;$L28,0,1)</f>
        <v>1</v>
      </c>
      <c r="Q28" s="4">
        <f>IF(I28&gt;$L28,0,1)</f>
        <v>0</v>
      </c>
      <c r="R28" s="4">
        <f>IF(F28&gt;$M28,0,1)</f>
        <v>0</v>
      </c>
      <c r="S28" s="4">
        <f>IF(K28&gt;$M28,0,1)</f>
        <v>1</v>
      </c>
      <c r="V28" s="4">
        <f t="shared" ref="V28:V76" si="11">IF(N28=O28,1,0)</f>
        <v>0</v>
      </c>
      <c r="Y28" s="4">
        <f t="shared" ref="Y28:Y76" si="12">IF(P28=Q28,1,0)</f>
        <v>0</v>
      </c>
    </row>
    <row r="29" spans="1:25">
      <c r="A29" s="4">
        <f t="shared" si="0"/>
        <v>24588.2</v>
      </c>
      <c r="B29" s="4" t="s">
        <v>32</v>
      </c>
      <c r="C29" s="4">
        <v>24588.2</v>
      </c>
      <c r="D29" s="4">
        <v>24588.2</v>
      </c>
      <c r="E29" s="4">
        <v>5.91</v>
      </c>
      <c r="F29" s="4">
        <v>24549.1</v>
      </c>
      <c r="H29" s="4">
        <v>24592.14</v>
      </c>
      <c r="I29" s="4">
        <v>24592.69</v>
      </c>
      <c r="J29" s="4">
        <v>44.46</v>
      </c>
      <c r="K29" s="4">
        <v>24554.84</v>
      </c>
      <c r="L29" s="4">
        <f t="shared" si="1"/>
        <v>24588.2</v>
      </c>
      <c r="M29" s="4">
        <f t="shared" si="2"/>
        <v>24549.1</v>
      </c>
      <c r="N29" s="4">
        <f>IF(C29&gt;$A29,0,1)</f>
        <v>1</v>
      </c>
      <c r="O29" s="4">
        <f>IF(H29&gt;$A29,0,1)</f>
        <v>0</v>
      </c>
      <c r="P29" s="4">
        <f>IF(D29&gt;$L29,0,1)</f>
        <v>1</v>
      </c>
      <c r="Q29" s="4">
        <f>IF(I29&gt;$L29,0,1)</f>
        <v>0</v>
      </c>
      <c r="R29" s="4">
        <f>IF(F29&gt;$M29,0,1)</f>
        <v>1</v>
      </c>
      <c r="S29" s="4">
        <f>IF(K29&gt;$M29,0,1)</f>
        <v>0</v>
      </c>
      <c r="V29" s="4">
        <f t="shared" si="11"/>
        <v>0</v>
      </c>
      <c r="Y29" s="4">
        <f t="shared" si="12"/>
        <v>0</v>
      </c>
    </row>
    <row r="30" spans="1:25">
      <c r="A30" s="4">
        <f t="shared" si="0"/>
        <v>37798.25</v>
      </c>
      <c r="B30" s="4" t="s">
        <v>33</v>
      </c>
      <c r="C30" s="4">
        <v>37798.25</v>
      </c>
      <c r="D30" s="4">
        <v>37798.93</v>
      </c>
      <c r="E30" s="4">
        <v>934.95</v>
      </c>
      <c r="F30" s="4">
        <v>37788.199999999997</v>
      </c>
      <c r="H30" s="4">
        <v>37799.629999999997</v>
      </c>
      <c r="I30" s="4">
        <v>37812.68</v>
      </c>
      <c r="J30" s="4">
        <v>1010.18</v>
      </c>
      <c r="K30" s="4">
        <v>37788.910000000003</v>
      </c>
      <c r="L30" s="4">
        <f t="shared" si="1"/>
        <v>37798.93</v>
      </c>
      <c r="M30" s="4">
        <f t="shared" si="2"/>
        <v>37788.199999999997</v>
      </c>
      <c r="N30" s="4">
        <f t="shared" ref="N30:N51" si="13">IF(C30&gt;$A30,0,1)</f>
        <v>1</v>
      </c>
      <c r="O30" s="4">
        <f t="shared" ref="O30:O51" si="14">IF(H30&gt;$A30,0,1)</f>
        <v>0</v>
      </c>
      <c r="P30" s="4">
        <f t="shared" ref="P30:P51" si="15">IF(D30&gt;$L30,0,1)</f>
        <v>1</v>
      </c>
      <c r="Q30" s="4">
        <f t="shared" ref="Q30:Q51" si="16">IF(I30&gt;$L30,0,1)</f>
        <v>0</v>
      </c>
      <c r="R30" s="4">
        <f t="shared" ref="R30:R51" si="17">IF(F30&gt;$M30,0,1)</f>
        <v>1</v>
      </c>
      <c r="S30" s="4">
        <f t="shared" ref="S30:S51" si="18">IF(K30&gt;$M30,0,1)</f>
        <v>0</v>
      </c>
      <c r="V30" s="4">
        <f t="shared" si="11"/>
        <v>0</v>
      </c>
      <c r="Y30" s="4">
        <f t="shared" si="12"/>
        <v>0</v>
      </c>
    </row>
    <row r="31" spans="1:25">
      <c r="A31" s="4">
        <f t="shared" si="0"/>
        <v>50542.02</v>
      </c>
      <c r="B31" s="4" t="s">
        <v>34</v>
      </c>
      <c r="C31" s="4">
        <v>50542.02</v>
      </c>
      <c r="D31" s="4">
        <v>50549.05</v>
      </c>
      <c r="E31" s="4">
        <v>1161.5899999999999</v>
      </c>
      <c r="F31" s="4">
        <v>50566.1</v>
      </c>
      <c r="H31" s="4">
        <v>50561.07</v>
      </c>
      <c r="I31" s="4">
        <v>50600.47</v>
      </c>
      <c r="J31" s="4">
        <v>1116.8699999999999</v>
      </c>
      <c r="K31" s="4">
        <v>50586.400000000001</v>
      </c>
      <c r="L31" s="4">
        <f t="shared" si="1"/>
        <v>50549.05</v>
      </c>
      <c r="M31" s="4">
        <f t="shared" si="2"/>
        <v>50566.1</v>
      </c>
      <c r="N31" s="4">
        <f t="shared" si="13"/>
        <v>1</v>
      </c>
      <c r="O31" s="4">
        <f t="shared" si="14"/>
        <v>0</v>
      </c>
      <c r="P31" s="4">
        <f t="shared" si="15"/>
        <v>1</v>
      </c>
      <c r="Q31" s="4">
        <f t="shared" si="16"/>
        <v>0</v>
      </c>
      <c r="R31" s="4">
        <f t="shared" si="17"/>
        <v>1</v>
      </c>
      <c r="S31" s="4">
        <f t="shared" si="18"/>
        <v>0</v>
      </c>
      <c r="V31" s="4">
        <f t="shared" si="11"/>
        <v>0</v>
      </c>
      <c r="Y31" s="4">
        <f t="shared" si="12"/>
        <v>0</v>
      </c>
    </row>
    <row r="32" spans="1:25">
      <c r="A32" s="4">
        <f t="shared" si="0"/>
        <v>62467.74</v>
      </c>
      <c r="B32" s="4" t="s">
        <v>35</v>
      </c>
      <c r="C32" s="4">
        <v>62467.74</v>
      </c>
      <c r="D32" s="4">
        <v>62470.96</v>
      </c>
      <c r="E32" s="4">
        <v>1096.6500000000001</v>
      </c>
      <c r="F32" s="4">
        <v>62481.1</v>
      </c>
      <c r="H32" s="4">
        <v>62500.72</v>
      </c>
      <c r="I32" s="4">
        <v>62586.42</v>
      </c>
      <c r="J32" s="4">
        <v>1192.3</v>
      </c>
      <c r="K32" s="4">
        <v>62502.84</v>
      </c>
      <c r="L32" s="4">
        <f t="shared" si="1"/>
        <v>62470.96</v>
      </c>
      <c r="M32" s="4">
        <f t="shared" si="2"/>
        <v>62481.1</v>
      </c>
      <c r="N32" s="4">
        <f t="shared" si="13"/>
        <v>1</v>
      </c>
      <c r="O32" s="4">
        <f t="shared" si="14"/>
        <v>0</v>
      </c>
      <c r="P32" s="4">
        <f t="shared" si="15"/>
        <v>1</v>
      </c>
      <c r="Q32" s="4">
        <f t="shared" si="16"/>
        <v>0</v>
      </c>
      <c r="R32" s="4">
        <f t="shared" si="17"/>
        <v>1</v>
      </c>
      <c r="S32" s="4">
        <f t="shared" si="18"/>
        <v>0</v>
      </c>
      <c r="V32" s="4">
        <f t="shared" si="11"/>
        <v>0</v>
      </c>
      <c r="Y32" s="4">
        <f t="shared" si="12"/>
        <v>0</v>
      </c>
    </row>
    <row r="33" spans="1:25">
      <c r="A33" s="4">
        <f t="shared" si="0"/>
        <v>67575.55</v>
      </c>
      <c r="B33" s="4" t="s">
        <v>36</v>
      </c>
      <c r="C33" s="4">
        <v>67575.55</v>
      </c>
      <c r="D33" s="4">
        <v>67688.62</v>
      </c>
      <c r="E33" s="4">
        <v>919.69</v>
      </c>
      <c r="F33" s="4">
        <v>67545.8</v>
      </c>
      <c r="H33" s="4">
        <v>67665.919999999998</v>
      </c>
      <c r="I33" s="4">
        <v>67784.22</v>
      </c>
      <c r="J33" s="4">
        <v>1397.02</v>
      </c>
      <c r="K33" s="4">
        <v>67626.12</v>
      </c>
      <c r="L33" s="4">
        <f t="shared" si="1"/>
        <v>67688.62</v>
      </c>
      <c r="M33" s="4">
        <f t="shared" si="2"/>
        <v>67545.8</v>
      </c>
      <c r="N33" s="4">
        <f t="shared" si="13"/>
        <v>1</v>
      </c>
      <c r="O33" s="4">
        <f t="shared" si="14"/>
        <v>0</v>
      </c>
      <c r="P33" s="4">
        <f t="shared" si="15"/>
        <v>1</v>
      </c>
      <c r="Q33" s="4">
        <f t="shared" si="16"/>
        <v>0</v>
      </c>
      <c r="R33" s="4">
        <f t="shared" si="17"/>
        <v>1</v>
      </c>
      <c r="S33" s="4">
        <f t="shared" si="18"/>
        <v>0</v>
      </c>
      <c r="V33" s="4">
        <f t="shared" si="11"/>
        <v>0</v>
      </c>
      <c r="Y33" s="4">
        <f t="shared" si="12"/>
        <v>0</v>
      </c>
    </row>
    <row r="34" spans="1:25">
      <c r="A34" s="4">
        <f t="shared" si="0"/>
        <v>241551.04</v>
      </c>
      <c r="B34" s="4" t="s">
        <v>37</v>
      </c>
      <c r="C34" s="4">
        <v>241551.04</v>
      </c>
      <c r="D34" s="4">
        <v>241605.58</v>
      </c>
      <c r="E34" s="4">
        <v>1094.73</v>
      </c>
      <c r="F34" s="4">
        <v>241567.5</v>
      </c>
      <c r="H34" s="4">
        <v>241578.79</v>
      </c>
      <c r="I34" s="4">
        <v>241675.37</v>
      </c>
      <c r="J34" s="4">
        <v>1368.18</v>
      </c>
      <c r="K34" s="4">
        <v>241592.11</v>
      </c>
      <c r="L34" s="4">
        <f t="shared" si="1"/>
        <v>241605.58</v>
      </c>
      <c r="M34" s="4">
        <f t="shared" si="2"/>
        <v>241567.5</v>
      </c>
      <c r="N34" s="4">
        <f t="shared" si="13"/>
        <v>1</v>
      </c>
      <c r="O34" s="4">
        <f t="shared" si="14"/>
        <v>0</v>
      </c>
      <c r="P34" s="4">
        <f t="shared" si="15"/>
        <v>1</v>
      </c>
      <c r="Q34" s="4">
        <f t="shared" si="16"/>
        <v>0</v>
      </c>
      <c r="R34" s="4">
        <f t="shared" si="17"/>
        <v>1</v>
      </c>
      <c r="S34" s="4">
        <f t="shared" si="18"/>
        <v>0</v>
      </c>
      <c r="V34" s="4">
        <f t="shared" si="11"/>
        <v>0</v>
      </c>
      <c r="Y34" s="4">
        <f t="shared" si="12"/>
        <v>0</v>
      </c>
    </row>
    <row r="35" spans="1:25">
      <c r="A35" s="4">
        <f t="shared" si="0"/>
        <v>114511.99</v>
      </c>
      <c r="B35" s="4" t="s">
        <v>38</v>
      </c>
      <c r="C35" s="4">
        <v>114511.99</v>
      </c>
      <c r="D35" s="4">
        <v>114671.09</v>
      </c>
      <c r="E35" s="4">
        <v>1505.15</v>
      </c>
      <c r="F35" s="4">
        <v>114496.9</v>
      </c>
      <c r="H35" s="4">
        <v>114846.46</v>
      </c>
      <c r="I35" s="4">
        <v>115265.27</v>
      </c>
      <c r="J35" s="4">
        <v>1586.09</v>
      </c>
      <c r="K35" s="4">
        <v>114829.9</v>
      </c>
      <c r="L35" s="4">
        <f t="shared" si="1"/>
        <v>114671.09</v>
      </c>
      <c r="M35" s="4">
        <f t="shared" si="2"/>
        <v>114496.9</v>
      </c>
      <c r="N35" s="4">
        <f t="shared" si="13"/>
        <v>1</v>
      </c>
      <c r="O35" s="4">
        <f t="shared" si="14"/>
        <v>0</v>
      </c>
      <c r="P35" s="4">
        <f t="shared" si="15"/>
        <v>1</v>
      </c>
      <c r="Q35" s="4">
        <f t="shared" si="16"/>
        <v>0</v>
      </c>
      <c r="R35" s="4">
        <f t="shared" si="17"/>
        <v>1</v>
      </c>
      <c r="S35" s="4">
        <f t="shared" si="18"/>
        <v>0</v>
      </c>
      <c r="V35" s="4">
        <f t="shared" si="11"/>
        <v>0</v>
      </c>
      <c r="Y35" s="4">
        <f t="shared" si="12"/>
        <v>0</v>
      </c>
    </row>
    <row r="36" spans="1:25">
      <c r="A36" s="4">
        <f t="shared" si="0"/>
        <v>241918.34</v>
      </c>
      <c r="B36" s="4" t="s">
        <v>39</v>
      </c>
      <c r="C36" s="4">
        <v>241918.34</v>
      </c>
      <c r="D36" s="4">
        <v>241992.26</v>
      </c>
      <c r="E36" s="4">
        <v>1234.6099999999999</v>
      </c>
      <c r="F36" s="4">
        <v>241922.1</v>
      </c>
      <c r="H36" s="4">
        <v>242076.19</v>
      </c>
      <c r="I36" s="4">
        <v>242178.01</v>
      </c>
      <c r="J36" s="4">
        <v>1519.91</v>
      </c>
      <c r="K36" s="4">
        <v>242079.76</v>
      </c>
      <c r="L36" s="4">
        <f t="shared" si="1"/>
        <v>241992.26</v>
      </c>
      <c r="M36" s="4">
        <f t="shared" si="2"/>
        <v>241922.1</v>
      </c>
      <c r="N36" s="4">
        <f t="shared" si="13"/>
        <v>1</v>
      </c>
      <c r="O36" s="4">
        <f t="shared" si="14"/>
        <v>0</v>
      </c>
      <c r="P36" s="4">
        <f t="shared" si="15"/>
        <v>1</v>
      </c>
      <c r="Q36" s="4">
        <f t="shared" si="16"/>
        <v>0</v>
      </c>
      <c r="R36" s="4">
        <f t="shared" si="17"/>
        <v>1</v>
      </c>
      <c r="S36" s="4">
        <f t="shared" si="18"/>
        <v>0</v>
      </c>
      <c r="V36" s="4">
        <f t="shared" si="11"/>
        <v>0</v>
      </c>
      <c r="Y36" s="4">
        <f t="shared" si="12"/>
        <v>0</v>
      </c>
    </row>
    <row r="37" spans="1:25">
      <c r="A37" s="4">
        <f t="shared" si="0"/>
        <v>195827.52</v>
      </c>
      <c r="B37" s="4" t="s">
        <v>40</v>
      </c>
      <c r="C37" s="4">
        <v>195827.52</v>
      </c>
      <c r="D37" s="4">
        <v>196148.55</v>
      </c>
      <c r="E37" s="4">
        <v>1159.56</v>
      </c>
      <c r="F37" s="4">
        <v>195835.5</v>
      </c>
      <c r="H37" s="4">
        <v>196378.8</v>
      </c>
      <c r="I37" s="4">
        <v>196552.48</v>
      </c>
      <c r="J37" s="4">
        <v>1433.74</v>
      </c>
      <c r="K37" s="4">
        <v>196401.89</v>
      </c>
      <c r="L37" s="4">
        <f t="shared" si="1"/>
        <v>196148.55</v>
      </c>
      <c r="M37" s="4">
        <f t="shared" si="2"/>
        <v>195835.5</v>
      </c>
      <c r="N37" s="4">
        <f t="shared" si="13"/>
        <v>1</v>
      </c>
      <c r="O37" s="4">
        <f t="shared" si="14"/>
        <v>0</v>
      </c>
      <c r="P37" s="4">
        <f t="shared" si="15"/>
        <v>1</v>
      </c>
      <c r="Q37" s="4">
        <f t="shared" si="16"/>
        <v>0</v>
      </c>
      <c r="R37" s="4">
        <f t="shared" si="17"/>
        <v>1</v>
      </c>
      <c r="S37" s="4">
        <f t="shared" si="18"/>
        <v>0</v>
      </c>
      <c r="V37" s="4">
        <f t="shared" si="11"/>
        <v>0</v>
      </c>
      <c r="Y37" s="4">
        <f t="shared" si="12"/>
        <v>0</v>
      </c>
    </row>
    <row r="38" spans="1:25">
      <c r="A38" s="4">
        <f t="shared" si="0"/>
        <v>194666.04</v>
      </c>
      <c r="B38" s="4" t="s">
        <v>41</v>
      </c>
      <c r="C38" s="4">
        <v>194666.04</v>
      </c>
      <c r="D38" s="4">
        <v>194897.27</v>
      </c>
      <c r="E38" s="4">
        <v>1560.59</v>
      </c>
      <c r="F38" s="4">
        <v>194757.9</v>
      </c>
      <c r="H38" s="4">
        <v>195332.26</v>
      </c>
      <c r="I38" s="4">
        <v>195756.72</v>
      </c>
      <c r="J38" s="4">
        <v>1416.04</v>
      </c>
      <c r="K38" s="4">
        <v>195457</v>
      </c>
      <c r="L38" s="4">
        <f t="shared" si="1"/>
        <v>194897.27</v>
      </c>
      <c r="M38" s="4">
        <f t="shared" si="2"/>
        <v>194757.9</v>
      </c>
      <c r="N38" s="4">
        <f t="shared" si="13"/>
        <v>1</v>
      </c>
      <c r="O38" s="4">
        <f t="shared" si="14"/>
        <v>0</v>
      </c>
      <c r="P38" s="4">
        <f t="shared" si="15"/>
        <v>1</v>
      </c>
      <c r="Q38" s="4">
        <f t="shared" si="16"/>
        <v>0</v>
      </c>
      <c r="R38" s="4">
        <f t="shared" si="17"/>
        <v>1</v>
      </c>
      <c r="S38" s="4">
        <f t="shared" si="18"/>
        <v>0</v>
      </c>
      <c r="V38" s="4">
        <f t="shared" si="11"/>
        <v>0</v>
      </c>
      <c r="Y38" s="4">
        <f t="shared" si="12"/>
        <v>0</v>
      </c>
    </row>
    <row r="39" spans="1:25">
      <c r="A39" s="4">
        <f t="shared" si="0"/>
        <v>201236.17</v>
      </c>
      <c r="B39" s="4" t="s">
        <v>42</v>
      </c>
      <c r="C39" s="4">
        <v>201236.17</v>
      </c>
      <c r="D39" s="4">
        <v>201479.97</v>
      </c>
      <c r="E39" s="4">
        <v>1418.54</v>
      </c>
      <c r="F39" s="4">
        <v>201248.1</v>
      </c>
      <c r="H39" s="4">
        <v>201606.79</v>
      </c>
      <c r="I39" s="4">
        <v>202346.23999999999</v>
      </c>
      <c r="J39" s="4">
        <v>1460.73</v>
      </c>
      <c r="K39" s="4">
        <v>201606.98</v>
      </c>
      <c r="L39" s="4">
        <f t="shared" si="1"/>
        <v>201479.97</v>
      </c>
      <c r="M39" s="4">
        <f t="shared" si="2"/>
        <v>201248.1</v>
      </c>
      <c r="N39" s="4">
        <f t="shared" si="13"/>
        <v>1</v>
      </c>
      <c r="O39" s="4">
        <f t="shared" si="14"/>
        <v>0</v>
      </c>
      <c r="P39" s="4">
        <f t="shared" si="15"/>
        <v>1</v>
      </c>
      <c r="Q39" s="4">
        <f t="shared" si="16"/>
        <v>0</v>
      </c>
      <c r="R39" s="4">
        <f t="shared" si="17"/>
        <v>1</v>
      </c>
      <c r="S39" s="4">
        <f t="shared" si="18"/>
        <v>0</v>
      </c>
      <c r="V39" s="4">
        <f t="shared" si="11"/>
        <v>0</v>
      </c>
      <c r="Y39" s="4">
        <f t="shared" si="12"/>
        <v>0</v>
      </c>
    </row>
    <row r="40" spans="1:25">
      <c r="A40" s="4">
        <f t="shared" si="0"/>
        <v>305978.94</v>
      </c>
      <c r="B40" s="4" t="s">
        <v>43</v>
      </c>
      <c r="C40" s="4">
        <v>305978.94</v>
      </c>
      <c r="D40" s="4">
        <v>306277.37</v>
      </c>
      <c r="E40" s="4">
        <v>1495.4</v>
      </c>
      <c r="F40" s="4">
        <v>305946.90000000002</v>
      </c>
      <c r="H40" s="4">
        <v>307007.94</v>
      </c>
      <c r="I40" s="4">
        <v>307343.12</v>
      </c>
      <c r="J40" s="4">
        <v>1367</v>
      </c>
      <c r="K40" s="4">
        <v>306966.86</v>
      </c>
      <c r="L40" s="4">
        <f t="shared" si="1"/>
        <v>306277.37</v>
      </c>
      <c r="M40" s="4">
        <f t="shared" si="2"/>
        <v>305946.90000000002</v>
      </c>
      <c r="N40" s="4">
        <f t="shared" si="13"/>
        <v>1</v>
      </c>
      <c r="O40" s="4">
        <f t="shared" si="14"/>
        <v>0</v>
      </c>
      <c r="P40" s="4">
        <f t="shared" si="15"/>
        <v>1</v>
      </c>
      <c r="Q40" s="4">
        <f t="shared" si="16"/>
        <v>0</v>
      </c>
      <c r="R40" s="4">
        <f t="shared" si="17"/>
        <v>1</v>
      </c>
      <c r="S40" s="4">
        <f t="shared" si="18"/>
        <v>0</v>
      </c>
      <c r="V40" s="4">
        <f t="shared" si="11"/>
        <v>0</v>
      </c>
      <c r="Y40" s="4">
        <f t="shared" si="12"/>
        <v>0</v>
      </c>
    </row>
    <row r="41" spans="1:25">
      <c r="A41" s="4">
        <f t="shared" si="0"/>
        <v>268297.15000000002</v>
      </c>
      <c r="B41" s="4" t="s">
        <v>44</v>
      </c>
      <c r="C41" s="4">
        <v>268297.15000000002</v>
      </c>
      <c r="D41" s="4">
        <v>268486.71000000002</v>
      </c>
      <c r="E41" s="4">
        <v>1498.86</v>
      </c>
      <c r="F41" s="4">
        <v>268304.2</v>
      </c>
      <c r="H41" s="4">
        <v>269187.06</v>
      </c>
      <c r="I41" s="4">
        <v>269543.3</v>
      </c>
      <c r="J41" s="4">
        <v>1561.19</v>
      </c>
      <c r="K41" s="4">
        <v>269166.19</v>
      </c>
      <c r="L41" s="4">
        <f t="shared" si="1"/>
        <v>268486.71000000002</v>
      </c>
      <c r="M41" s="4">
        <f t="shared" si="2"/>
        <v>268304.2</v>
      </c>
      <c r="N41" s="4">
        <f t="shared" si="13"/>
        <v>1</v>
      </c>
      <c r="O41" s="4">
        <f t="shared" si="14"/>
        <v>0</v>
      </c>
      <c r="P41" s="4">
        <f t="shared" si="15"/>
        <v>1</v>
      </c>
      <c r="Q41" s="4">
        <f t="shared" si="16"/>
        <v>0</v>
      </c>
      <c r="R41" s="4">
        <f t="shared" si="17"/>
        <v>1</v>
      </c>
      <c r="S41" s="4">
        <f t="shared" si="18"/>
        <v>0</v>
      </c>
      <c r="V41" s="4">
        <f t="shared" si="11"/>
        <v>0</v>
      </c>
      <c r="Y41" s="4">
        <f t="shared" si="12"/>
        <v>0</v>
      </c>
    </row>
    <row r="42" spans="1:25">
      <c r="A42" s="4">
        <f t="shared" si="0"/>
        <v>347541.02</v>
      </c>
      <c r="B42" s="4" t="s">
        <v>45</v>
      </c>
      <c r="C42" s="4">
        <v>347541.02</v>
      </c>
      <c r="D42" s="4">
        <v>347726.14</v>
      </c>
      <c r="E42" s="4">
        <v>1550.98</v>
      </c>
      <c r="F42" s="4">
        <v>347537.3</v>
      </c>
      <c r="H42" s="4">
        <v>349022.65</v>
      </c>
      <c r="I42" s="4">
        <v>349552.24</v>
      </c>
      <c r="J42" s="4">
        <v>1304.04</v>
      </c>
      <c r="K42" s="4">
        <v>349018.54</v>
      </c>
      <c r="L42" s="4">
        <f t="shared" si="1"/>
        <v>347726.14</v>
      </c>
      <c r="M42" s="4">
        <f t="shared" si="2"/>
        <v>347537.3</v>
      </c>
      <c r="N42" s="4">
        <f t="shared" si="13"/>
        <v>1</v>
      </c>
      <c r="O42" s="4">
        <f t="shared" si="14"/>
        <v>0</v>
      </c>
      <c r="P42" s="4">
        <f t="shared" si="15"/>
        <v>1</v>
      </c>
      <c r="Q42" s="4">
        <f t="shared" si="16"/>
        <v>0</v>
      </c>
      <c r="R42" s="4">
        <f t="shared" si="17"/>
        <v>1</v>
      </c>
      <c r="S42" s="4">
        <f t="shared" si="18"/>
        <v>0</v>
      </c>
      <c r="V42" s="4">
        <f t="shared" si="11"/>
        <v>0</v>
      </c>
      <c r="Y42" s="4">
        <f t="shared" si="12"/>
        <v>0</v>
      </c>
    </row>
    <row r="43" spans="1:25">
      <c r="A43" s="4">
        <f t="shared" si="0"/>
        <v>362918.37</v>
      </c>
      <c r="B43" s="4" t="s">
        <v>46</v>
      </c>
      <c r="C43" s="4">
        <v>362918.37</v>
      </c>
      <c r="D43" s="4">
        <v>363447.92</v>
      </c>
      <c r="E43" s="4">
        <v>1524.87</v>
      </c>
      <c r="F43" s="4">
        <v>362944.5</v>
      </c>
      <c r="H43" s="4">
        <v>365264.93</v>
      </c>
      <c r="I43" s="4">
        <v>365723.04</v>
      </c>
      <c r="J43" s="4">
        <v>1216.21</v>
      </c>
      <c r="K43" s="4">
        <v>365307.5</v>
      </c>
      <c r="L43" s="4">
        <f t="shared" si="1"/>
        <v>363447.92</v>
      </c>
      <c r="M43" s="4">
        <f t="shared" si="2"/>
        <v>362944.5</v>
      </c>
      <c r="N43" s="4">
        <f t="shared" si="13"/>
        <v>1</v>
      </c>
      <c r="O43" s="4">
        <f t="shared" si="14"/>
        <v>0</v>
      </c>
      <c r="P43" s="4">
        <f t="shared" si="15"/>
        <v>1</v>
      </c>
      <c r="Q43" s="4">
        <f t="shared" si="16"/>
        <v>0</v>
      </c>
      <c r="R43" s="4">
        <f t="shared" si="17"/>
        <v>1</v>
      </c>
      <c r="S43" s="4">
        <f t="shared" si="18"/>
        <v>0</v>
      </c>
      <c r="V43" s="4">
        <f t="shared" si="11"/>
        <v>0</v>
      </c>
      <c r="Y43" s="4">
        <f t="shared" si="12"/>
        <v>0</v>
      </c>
    </row>
    <row r="44" spans="1:25">
      <c r="A44" s="4">
        <f t="shared" si="0"/>
        <v>831909.25</v>
      </c>
      <c r="B44" s="4" t="s">
        <v>47</v>
      </c>
      <c r="C44" s="4">
        <v>831909.25</v>
      </c>
      <c r="D44" s="4">
        <v>832832.34</v>
      </c>
      <c r="E44" s="4">
        <v>1634.2</v>
      </c>
      <c r="F44" s="4">
        <v>831868.7</v>
      </c>
      <c r="H44" s="4">
        <v>834781.32</v>
      </c>
      <c r="I44" s="4">
        <v>835122.98</v>
      </c>
      <c r="J44" s="4">
        <v>1014.59</v>
      </c>
      <c r="K44" s="4">
        <v>834841.14</v>
      </c>
      <c r="L44" s="4">
        <f t="shared" si="1"/>
        <v>832832.34</v>
      </c>
      <c r="M44" s="4">
        <f t="shared" si="2"/>
        <v>831868.7</v>
      </c>
      <c r="N44" s="4">
        <f t="shared" si="13"/>
        <v>1</v>
      </c>
      <c r="O44" s="4">
        <f t="shared" si="14"/>
        <v>0</v>
      </c>
      <c r="P44" s="4">
        <f t="shared" si="15"/>
        <v>1</v>
      </c>
      <c r="Q44" s="4">
        <f t="shared" si="16"/>
        <v>0</v>
      </c>
      <c r="R44" s="4">
        <f t="shared" si="17"/>
        <v>1</v>
      </c>
      <c r="S44" s="4">
        <f t="shared" si="18"/>
        <v>0</v>
      </c>
      <c r="V44" s="4">
        <f t="shared" si="11"/>
        <v>0</v>
      </c>
      <c r="Y44" s="4">
        <f t="shared" si="12"/>
        <v>0</v>
      </c>
    </row>
    <row r="45" spans="1:25">
      <c r="A45" s="4">
        <f t="shared" si="0"/>
        <v>525307.88</v>
      </c>
      <c r="B45" s="4" t="s">
        <v>48</v>
      </c>
      <c r="C45" s="4">
        <v>525307.88</v>
      </c>
      <c r="D45" s="4">
        <v>526001.26</v>
      </c>
      <c r="E45" s="4">
        <v>1458.18</v>
      </c>
      <c r="F45" s="4">
        <v>525345.19999999995</v>
      </c>
      <c r="H45" s="4">
        <v>528601.61</v>
      </c>
      <c r="I45" s="4">
        <v>529214.55000000005</v>
      </c>
      <c r="J45" s="4">
        <v>1393.13</v>
      </c>
      <c r="K45" s="4">
        <v>528718.11</v>
      </c>
      <c r="L45" s="4">
        <f t="shared" si="1"/>
        <v>526001.26</v>
      </c>
      <c r="M45" s="4">
        <f t="shared" si="2"/>
        <v>525345.19999999995</v>
      </c>
      <c r="N45" s="4">
        <f t="shared" si="13"/>
        <v>1</v>
      </c>
      <c r="O45" s="4">
        <f t="shared" si="14"/>
        <v>0</v>
      </c>
      <c r="P45" s="4">
        <f t="shared" si="15"/>
        <v>1</v>
      </c>
      <c r="Q45" s="4">
        <f t="shared" si="16"/>
        <v>0</v>
      </c>
      <c r="R45" s="4">
        <f t="shared" si="17"/>
        <v>1</v>
      </c>
      <c r="S45" s="4">
        <f t="shared" si="18"/>
        <v>0</v>
      </c>
      <c r="V45" s="4">
        <f t="shared" si="11"/>
        <v>0</v>
      </c>
      <c r="Y45" s="4">
        <f t="shared" si="12"/>
        <v>0</v>
      </c>
    </row>
    <row r="46" spans="1:25">
      <c r="A46" s="4">
        <f t="shared" si="0"/>
        <v>941062.9</v>
      </c>
      <c r="B46" s="4" t="s">
        <v>49</v>
      </c>
      <c r="C46" s="4">
        <v>941062.9</v>
      </c>
      <c r="D46" s="4">
        <v>942626.92</v>
      </c>
      <c r="E46" s="4">
        <v>1549.87</v>
      </c>
      <c r="F46" s="4">
        <v>941083</v>
      </c>
      <c r="H46" s="4">
        <v>948058.83</v>
      </c>
      <c r="I46" s="4">
        <v>949672.5</v>
      </c>
      <c r="J46" s="4">
        <v>1813.8</v>
      </c>
      <c r="K46" s="4">
        <v>947984.47</v>
      </c>
      <c r="L46" s="4">
        <f t="shared" si="1"/>
        <v>942626.92</v>
      </c>
      <c r="M46" s="4">
        <f t="shared" si="2"/>
        <v>941083</v>
      </c>
      <c r="N46" s="4">
        <f t="shared" si="13"/>
        <v>1</v>
      </c>
      <c r="O46" s="4">
        <f t="shared" si="14"/>
        <v>0</v>
      </c>
      <c r="P46" s="4">
        <f t="shared" si="15"/>
        <v>1</v>
      </c>
      <c r="Q46" s="4">
        <f t="shared" si="16"/>
        <v>0</v>
      </c>
      <c r="R46" s="4">
        <f t="shared" si="17"/>
        <v>1</v>
      </c>
      <c r="S46" s="4">
        <f t="shared" si="18"/>
        <v>0</v>
      </c>
      <c r="V46" s="4">
        <f t="shared" si="11"/>
        <v>0</v>
      </c>
      <c r="Y46" s="4">
        <f t="shared" si="12"/>
        <v>0</v>
      </c>
    </row>
    <row r="47" spans="1:25">
      <c r="A47" s="4">
        <f t="shared" si="0"/>
        <v>854676.42</v>
      </c>
      <c r="B47" s="4" t="s">
        <v>50</v>
      </c>
      <c r="C47" s="4">
        <v>854676.42</v>
      </c>
      <c r="D47" s="4">
        <v>855992.45</v>
      </c>
      <c r="E47" s="4">
        <v>1270.8399999999999</v>
      </c>
      <c r="F47" s="4">
        <v>854579.7</v>
      </c>
      <c r="H47" s="4">
        <v>862870.78</v>
      </c>
      <c r="I47" s="4">
        <v>869366.77</v>
      </c>
      <c r="J47" s="4">
        <v>1817.13</v>
      </c>
      <c r="K47" s="4">
        <v>862824.59</v>
      </c>
      <c r="L47" s="4">
        <f t="shared" si="1"/>
        <v>855992.45</v>
      </c>
      <c r="M47" s="4">
        <f t="shared" si="2"/>
        <v>854579.7</v>
      </c>
      <c r="N47" s="4">
        <f t="shared" si="13"/>
        <v>1</v>
      </c>
      <c r="O47" s="4">
        <f t="shared" si="14"/>
        <v>0</v>
      </c>
      <c r="P47" s="4">
        <f t="shared" si="15"/>
        <v>1</v>
      </c>
      <c r="Q47" s="4">
        <f t="shared" si="16"/>
        <v>0</v>
      </c>
      <c r="R47" s="4">
        <f t="shared" si="17"/>
        <v>1</v>
      </c>
      <c r="S47" s="4">
        <f t="shared" si="18"/>
        <v>0</v>
      </c>
      <c r="V47" s="4">
        <f t="shared" si="11"/>
        <v>0</v>
      </c>
      <c r="Y47" s="4">
        <f t="shared" si="12"/>
        <v>0</v>
      </c>
    </row>
    <row r="48" spans="1:25">
      <c r="A48" s="4">
        <f t="shared" si="0"/>
        <v>1821242.07</v>
      </c>
      <c r="B48" s="4" t="s">
        <v>51</v>
      </c>
      <c r="C48" s="4">
        <v>1821242.07</v>
      </c>
      <c r="D48" s="4">
        <v>1821761.9</v>
      </c>
      <c r="E48" s="4">
        <v>1352.98</v>
      </c>
      <c r="F48" s="4">
        <v>1821201.3</v>
      </c>
      <c r="H48" s="4">
        <v>1841438.28</v>
      </c>
      <c r="I48" s="4">
        <v>1845007.1</v>
      </c>
      <c r="J48" s="4">
        <v>1943.67</v>
      </c>
      <c r="K48" s="4">
        <v>1841310.84</v>
      </c>
      <c r="L48" s="4">
        <f t="shared" si="1"/>
        <v>1821761.9</v>
      </c>
      <c r="M48" s="4">
        <f t="shared" si="2"/>
        <v>1821201.3</v>
      </c>
      <c r="N48" s="4">
        <f t="shared" si="13"/>
        <v>1</v>
      </c>
      <c r="O48" s="4">
        <f t="shared" si="14"/>
        <v>0</v>
      </c>
      <c r="P48" s="4">
        <f t="shared" si="15"/>
        <v>1</v>
      </c>
      <c r="Q48" s="4">
        <f t="shared" si="16"/>
        <v>0</v>
      </c>
      <c r="R48" s="4">
        <f t="shared" si="17"/>
        <v>1</v>
      </c>
      <c r="S48" s="4">
        <f t="shared" si="18"/>
        <v>0</v>
      </c>
      <c r="V48" s="4">
        <f t="shared" si="11"/>
        <v>0</v>
      </c>
      <c r="Y48" s="4">
        <f t="shared" si="12"/>
        <v>0</v>
      </c>
    </row>
    <row r="49" spans="1:25">
      <c r="A49" s="4">
        <f t="shared" si="0"/>
        <v>1337100.24</v>
      </c>
      <c r="B49" s="4" t="s">
        <v>52</v>
      </c>
      <c r="C49" s="4">
        <v>1337100.24</v>
      </c>
      <c r="D49" s="4">
        <v>1337628.8700000001</v>
      </c>
      <c r="E49" s="4">
        <v>1037.56</v>
      </c>
      <c r="F49" s="4">
        <v>1336938.5</v>
      </c>
      <c r="H49" s="4">
        <v>1372706.18</v>
      </c>
      <c r="I49" s="4">
        <v>1376305.29</v>
      </c>
      <c r="J49" s="4">
        <v>1893.51</v>
      </c>
      <c r="K49" s="4">
        <v>1372685.29</v>
      </c>
      <c r="L49" s="4">
        <f t="shared" si="1"/>
        <v>1337628.8700000001</v>
      </c>
      <c r="M49" s="4">
        <f t="shared" si="2"/>
        <v>1336938.5</v>
      </c>
      <c r="N49" s="4">
        <f t="shared" si="13"/>
        <v>1</v>
      </c>
      <c r="O49" s="4">
        <f t="shared" si="14"/>
        <v>0</v>
      </c>
      <c r="P49" s="4">
        <f t="shared" si="15"/>
        <v>1</v>
      </c>
      <c r="Q49" s="4">
        <f t="shared" si="16"/>
        <v>0</v>
      </c>
      <c r="R49" s="4">
        <f t="shared" si="17"/>
        <v>1</v>
      </c>
      <c r="S49" s="4">
        <f t="shared" si="18"/>
        <v>0</v>
      </c>
      <c r="V49" s="4">
        <f t="shared" si="11"/>
        <v>0</v>
      </c>
      <c r="Y49" s="4">
        <f t="shared" si="12"/>
        <v>0</v>
      </c>
    </row>
    <row r="50" spans="1:25">
      <c r="A50" s="4">
        <f t="shared" si="0"/>
        <v>2620042.08</v>
      </c>
      <c r="B50" s="4" t="s">
        <v>53</v>
      </c>
      <c r="C50" s="4">
        <v>2620042.08</v>
      </c>
      <c r="D50" s="4">
        <v>2622073.9300000002</v>
      </c>
      <c r="E50" s="4">
        <v>1191.52</v>
      </c>
      <c r="F50" s="4">
        <v>2620083.7000000002</v>
      </c>
      <c r="H50" s="4">
        <v>2677587.65</v>
      </c>
      <c r="I50" s="4">
        <v>2689224.23</v>
      </c>
      <c r="J50" s="4">
        <v>2136.42</v>
      </c>
      <c r="K50" s="4">
        <v>2677238.92</v>
      </c>
      <c r="L50" s="4">
        <f t="shared" si="1"/>
        <v>2622073.9300000002</v>
      </c>
      <c r="M50" s="4">
        <f t="shared" si="2"/>
        <v>2620083.7000000002</v>
      </c>
      <c r="N50" s="4">
        <f t="shared" si="13"/>
        <v>1</v>
      </c>
      <c r="O50" s="4">
        <f t="shared" si="14"/>
        <v>0</v>
      </c>
      <c r="P50" s="4">
        <f t="shared" si="15"/>
        <v>1</v>
      </c>
      <c r="Q50" s="4">
        <f t="shared" si="16"/>
        <v>0</v>
      </c>
      <c r="R50" s="4">
        <f t="shared" si="17"/>
        <v>1</v>
      </c>
      <c r="S50" s="4">
        <f t="shared" si="18"/>
        <v>0</v>
      </c>
      <c r="V50" s="4">
        <f t="shared" si="11"/>
        <v>0</v>
      </c>
      <c r="Y50" s="4">
        <f t="shared" si="12"/>
        <v>0</v>
      </c>
    </row>
    <row r="51" spans="1:25">
      <c r="A51" s="4">
        <f t="shared" si="0"/>
        <v>2525547.2400000002</v>
      </c>
      <c r="B51" s="4" t="s">
        <v>54</v>
      </c>
      <c r="C51" s="4">
        <v>2525547.2400000002</v>
      </c>
      <c r="D51" s="4">
        <v>2531717.2400000002</v>
      </c>
      <c r="E51" s="4">
        <v>1294.6199999999999</v>
      </c>
      <c r="F51" s="4">
        <v>2525141.9</v>
      </c>
      <c r="H51" s="4">
        <v>2652854.5</v>
      </c>
      <c r="I51" s="4">
        <v>2676599.39</v>
      </c>
      <c r="J51" s="4">
        <v>2084.48</v>
      </c>
      <c r="K51" s="4">
        <v>2652508.66</v>
      </c>
      <c r="L51" s="4">
        <f t="shared" si="1"/>
        <v>2531717.2400000002</v>
      </c>
      <c r="M51" s="4">
        <f t="shared" si="2"/>
        <v>2525141.9</v>
      </c>
      <c r="N51" s="4">
        <f t="shared" si="13"/>
        <v>1</v>
      </c>
      <c r="O51" s="4">
        <f t="shared" si="14"/>
        <v>0</v>
      </c>
      <c r="P51" s="4">
        <f t="shared" si="15"/>
        <v>1</v>
      </c>
      <c r="Q51" s="4">
        <f t="shared" si="16"/>
        <v>0</v>
      </c>
      <c r="R51" s="4">
        <f t="shared" si="17"/>
        <v>1</v>
      </c>
      <c r="S51" s="4">
        <f t="shared" si="18"/>
        <v>0</v>
      </c>
      <c r="V51" s="4">
        <f t="shared" si="11"/>
        <v>0</v>
      </c>
      <c r="Y51" s="4">
        <f t="shared" si="12"/>
        <v>0</v>
      </c>
    </row>
    <row r="52" spans="1:25">
      <c r="T52" s="4">
        <f>SUM(N28:N51)</f>
        <v>24</v>
      </c>
      <c r="U52" s="4">
        <f>SUM(O28:O51)</f>
        <v>0</v>
      </c>
      <c r="V52" s="4">
        <f>SUM(V28:V51)</f>
        <v>0</v>
      </c>
      <c r="W52" s="4">
        <f>SUM(P28:P51)</f>
        <v>24</v>
      </c>
      <c r="X52" s="4">
        <f>SUM(Q28:Q51)</f>
        <v>0</v>
      </c>
      <c r="Y52" s="4">
        <f>SUM(Y28:Y51)</f>
        <v>0</v>
      </c>
    </row>
    <row r="53" spans="1:25">
      <c r="A53" s="4">
        <f>MIN(C53,H53)</f>
        <v>43.81</v>
      </c>
      <c r="B53" s="4" t="s">
        <v>55</v>
      </c>
      <c r="C53" s="4">
        <v>43.81</v>
      </c>
      <c r="D53" s="4">
        <v>47.11</v>
      </c>
      <c r="E53" s="4">
        <v>960.01</v>
      </c>
      <c r="F53" s="4">
        <v>51.2</v>
      </c>
      <c r="H53" s="4">
        <v>44.68</v>
      </c>
      <c r="I53" s="4">
        <v>52.27</v>
      </c>
      <c r="J53" s="4">
        <v>817.3</v>
      </c>
      <c r="K53" s="4">
        <v>46.02</v>
      </c>
      <c r="L53" s="4">
        <f>MIN(D53,I53)</f>
        <v>47.11</v>
      </c>
      <c r="M53" s="4">
        <f>MIN(F53,K53)</f>
        <v>46.02</v>
      </c>
      <c r="N53" s="4">
        <f>IF(C53&gt;$A53,0,1)</f>
        <v>1</v>
      </c>
      <c r="O53" s="4">
        <f>IF(H53&gt;$A53,0,1)</f>
        <v>0</v>
      </c>
      <c r="P53" s="4">
        <f>IF(D53&gt;$L53,0,1)</f>
        <v>1</v>
      </c>
      <c r="Q53" s="4">
        <f>IF(I53&gt;$L53,0,1)</f>
        <v>0</v>
      </c>
      <c r="R53" s="4">
        <f>IF(F53&gt;$M53,0,1)</f>
        <v>0</v>
      </c>
      <c r="S53" s="4">
        <f>IF(K53&gt;$M53,0,1)</f>
        <v>1</v>
      </c>
      <c r="V53" s="4">
        <f t="shared" si="11"/>
        <v>0</v>
      </c>
      <c r="Y53" s="4">
        <f t="shared" si="12"/>
        <v>0</v>
      </c>
    </row>
    <row r="54" spans="1:25">
      <c r="A54" s="4">
        <f t="shared" ref="A54:A76" si="19">MIN(C54,H54)</f>
        <v>17</v>
      </c>
      <c r="B54" s="4" t="s">
        <v>56</v>
      </c>
      <c r="C54" s="4">
        <v>17</v>
      </c>
      <c r="D54" s="4">
        <v>19.7</v>
      </c>
      <c r="E54" s="4">
        <v>1023</v>
      </c>
      <c r="F54" s="4">
        <v>23.2</v>
      </c>
      <c r="H54" s="4">
        <v>17</v>
      </c>
      <c r="I54" s="4">
        <v>27.32</v>
      </c>
      <c r="J54" s="4">
        <v>836.62</v>
      </c>
      <c r="K54" s="4">
        <v>23.18</v>
      </c>
      <c r="L54" s="4">
        <f t="shared" ref="L54:L76" si="20">MIN(D54,I54)</f>
        <v>19.7</v>
      </c>
      <c r="M54" s="4">
        <f t="shared" ref="M54:M76" si="21">MIN(F54,K54)</f>
        <v>23.18</v>
      </c>
      <c r="N54" s="4">
        <f>IF(C54&gt;$A54,0,1)</f>
        <v>1</v>
      </c>
      <c r="O54" s="4">
        <f>IF(H54&gt;$A54,0,1)</f>
        <v>1</v>
      </c>
      <c r="P54" s="4">
        <f>IF(D54&gt;$L54,0,1)</f>
        <v>1</v>
      </c>
      <c r="Q54" s="4">
        <f>IF(I54&gt;$L54,0,1)</f>
        <v>0</v>
      </c>
      <c r="R54" s="4">
        <f>IF(F54&gt;$M54,0,1)</f>
        <v>0</v>
      </c>
      <c r="S54" s="4">
        <f>IF(K54&gt;$M54,0,1)</f>
        <v>1</v>
      </c>
      <c r="V54" s="4">
        <f>IF(N54=O54,1,0)</f>
        <v>1</v>
      </c>
      <c r="Y54" s="4">
        <f t="shared" si="12"/>
        <v>0</v>
      </c>
    </row>
    <row r="55" spans="1:25">
      <c r="A55" s="4">
        <f t="shared" si="19"/>
        <v>8264.02</v>
      </c>
      <c r="B55" s="4" t="s">
        <v>57</v>
      </c>
      <c r="C55" s="4">
        <v>8264.02</v>
      </c>
      <c r="D55" s="4">
        <v>8342.8799999999992</v>
      </c>
      <c r="E55" s="4">
        <v>297.22000000000003</v>
      </c>
      <c r="F55" s="4">
        <v>8288.9</v>
      </c>
      <c r="H55" s="4">
        <v>8328.75</v>
      </c>
      <c r="I55" s="4">
        <v>8480.82</v>
      </c>
      <c r="J55" s="4">
        <v>414.45</v>
      </c>
      <c r="K55" s="4">
        <v>8284.32</v>
      </c>
      <c r="L55" s="4">
        <f t="shared" si="20"/>
        <v>8342.8799999999992</v>
      </c>
      <c r="M55" s="4">
        <f t="shared" si="21"/>
        <v>8284.32</v>
      </c>
      <c r="N55" s="4">
        <f t="shared" ref="N55:N76" si="22">IF(C55&gt;$A55,0,1)</f>
        <v>1</v>
      </c>
      <c r="O55" s="4">
        <f t="shared" ref="O55:O76" si="23">IF(H55&gt;$A55,0,1)</f>
        <v>0</v>
      </c>
      <c r="P55" s="4">
        <f t="shared" ref="P55:P76" si="24">IF(D55&gt;$L55,0,1)</f>
        <v>1</v>
      </c>
      <c r="Q55" s="4">
        <f t="shared" ref="Q55:Q76" si="25">IF(I55&gt;$L55,0,1)</f>
        <v>0</v>
      </c>
      <c r="R55" s="4">
        <f t="shared" ref="R55:R76" si="26">IF(F55&gt;$M55,0,1)</f>
        <v>0</v>
      </c>
      <c r="S55" s="4">
        <f t="shared" ref="S55:S76" si="27">IF(K55&gt;$M55,0,1)</f>
        <v>1</v>
      </c>
      <c r="V55" s="4">
        <f t="shared" si="11"/>
        <v>0</v>
      </c>
      <c r="Y55" s="4">
        <f t="shared" si="12"/>
        <v>0</v>
      </c>
    </row>
    <row r="56" spans="1:25">
      <c r="A56" s="4">
        <f t="shared" si="19"/>
        <v>374.6</v>
      </c>
      <c r="B56" s="4" t="s">
        <v>58</v>
      </c>
      <c r="C56" s="4">
        <v>374.6</v>
      </c>
      <c r="D56" s="4">
        <v>604.75</v>
      </c>
      <c r="E56" s="4">
        <v>907.73</v>
      </c>
      <c r="F56" s="4">
        <v>353.4</v>
      </c>
      <c r="H56" s="4">
        <v>580.62</v>
      </c>
      <c r="I56" s="4">
        <v>749.19</v>
      </c>
      <c r="J56" s="4">
        <v>845.16</v>
      </c>
      <c r="K56" s="4">
        <v>560.07000000000005</v>
      </c>
      <c r="L56" s="4">
        <f t="shared" si="20"/>
        <v>604.75</v>
      </c>
      <c r="M56" s="4">
        <f t="shared" si="21"/>
        <v>353.4</v>
      </c>
      <c r="N56" s="4">
        <f t="shared" si="22"/>
        <v>1</v>
      </c>
      <c r="O56" s="4">
        <f t="shared" si="23"/>
        <v>0</v>
      </c>
      <c r="P56" s="4">
        <f t="shared" si="24"/>
        <v>1</v>
      </c>
      <c r="Q56" s="4">
        <f t="shared" si="25"/>
        <v>0</v>
      </c>
      <c r="R56" s="4">
        <f t="shared" si="26"/>
        <v>1</v>
      </c>
      <c r="S56" s="4">
        <f t="shared" si="27"/>
        <v>0</v>
      </c>
      <c r="V56" s="4">
        <f t="shared" si="11"/>
        <v>0</v>
      </c>
      <c r="Y56" s="4">
        <f t="shared" si="12"/>
        <v>0</v>
      </c>
    </row>
    <row r="57" spans="1:25">
      <c r="A57" s="4">
        <f t="shared" si="19"/>
        <v>29626.5</v>
      </c>
      <c r="B57" s="4" t="s">
        <v>59</v>
      </c>
      <c r="C57" s="4">
        <v>29764.93</v>
      </c>
      <c r="D57" s="4">
        <v>30018.93</v>
      </c>
      <c r="E57" s="4">
        <v>784.09</v>
      </c>
      <c r="F57" s="4">
        <v>29791.1</v>
      </c>
      <c r="H57" s="4">
        <v>29626.5</v>
      </c>
      <c r="I57" s="4">
        <v>29963</v>
      </c>
      <c r="J57" s="4">
        <v>1135.04</v>
      </c>
      <c r="K57" s="4">
        <v>29695.53</v>
      </c>
      <c r="L57" s="4">
        <f t="shared" si="20"/>
        <v>29963</v>
      </c>
      <c r="M57" s="4">
        <f t="shared" si="21"/>
        <v>29695.53</v>
      </c>
      <c r="N57" s="4">
        <f t="shared" si="22"/>
        <v>0</v>
      </c>
      <c r="O57" s="4">
        <f t="shared" si="23"/>
        <v>1</v>
      </c>
      <c r="P57" s="4">
        <f t="shared" si="24"/>
        <v>0</v>
      </c>
      <c r="Q57" s="4">
        <f t="shared" si="25"/>
        <v>1</v>
      </c>
      <c r="R57" s="4">
        <f t="shared" si="26"/>
        <v>0</v>
      </c>
      <c r="S57" s="4">
        <f t="shared" si="27"/>
        <v>1</v>
      </c>
      <c r="V57" s="4">
        <f t="shared" si="11"/>
        <v>0</v>
      </c>
      <c r="Y57" s="4">
        <f t="shared" si="12"/>
        <v>0</v>
      </c>
    </row>
    <row r="58" spans="1:25">
      <c r="A58" s="4">
        <f t="shared" si="19"/>
        <v>5248.03</v>
      </c>
      <c r="B58" s="4" t="s">
        <v>60</v>
      </c>
      <c r="C58" s="4">
        <v>5248.03</v>
      </c>
      <c r="D58" s="4">
        <v>5707.41</v>
      </c>
      <c r="E58" s="4">
        <v>305.23</v>
      </c>
      <c r="F58" s="4">
        <v>5193.2</v>
      </c>
      <c r="H58" s="4">
        <v>5363.9</v>
      </c>
      <c r="I58" s="4">
        <v>5826.31</v>
      </c>
      <c r="J58" s="4">
        <v>286.07</v>
      </c>
      <c r="K58" s="4">
        <v>5346.27</v>
      </c>
      <c r="L58" s="4">
        <f t="shared" si="20"/>
        <v>5707.41</v>
      </c>
      <c r="M58" s="4">
        <f t="shared" si="21"/>
        <v>5193.2</v>
      </c>
      <c r="N58" s="4">
        <f t="shared" si="22"/>
        <v>1</v>
      </c>
      <c r="O58" s="4">
        <f t="shared" si="23"/>
        <v>0</v>
      </c>
      <c r="P58" s="4">
        <f t="shared" si="24"/>
        <v>1</v>
      </c>
      <c r="Q58" s="4">
        <f t="shared" si="25"/>
        <v>0</v>
      </c>
      <c r="R58" s="4">
        <f t="shared" si="26"/>
        <v>1</v>
      </c>
      <c r="S58" s="4">
        <f t="shared" si="27"/>
        <v>0</v>
      </c>
      <c r="V58" s="4">
        <f t="shared" si="11"/>
        <v>0</v>
      </c>
      <c r="Y58" s="4">
        <f t="shared" si="12"/>
        <v>0</v>
      </c>
    </row>
    <row r="59" spans="1:25">
      <c r="A59" s="4">
        <f t="shared" si="19"/>
        <v>82114.78</v>
      </c>
      <c r="B59" s="4" t="s">
        <v>61</v>
      </c>
      <c r="C59" s="4">
        <v>82328.800000000003</v>
      </c>
      <c r="D59" s="4">
        <v>82564.929999999993</v>
      </c>
      <c r="E59" s="4">
        <v>1060.08</v>
      </c>
      <c r="F59" s="4">
        <v>82390.3</v>
      </c>
      <c r="H59" s="4">
        <v>82114.78</v>
      </c>
      <c r="I59" s="4">
        <v>82754.490000000005</v>
      </c>
      <c r="J59" s="4">
        <v>777.46</v>
      </c>
      <c r="K59" s="4">
        <v>82179.399999999994</v>
      </c>
      <c r="L59" s="4">
        <f t="shared" si="20"/>
        <v>82564.929999999993</v>
      </c>
      <c r="M59" s="4">
        <f t="shared" si="21"/>
        <v>82179.399999999994</v>
      </c>
      <c r="N59" s="4">
        <f t="shared" si="22"/>
        <v>0</v>
      </c>
      <c r="O59" s="4">
        <f t="shared" si="23"/>
        <v>1</v>
      </c>
      <c r="P59" s="4">
        <f t="shared" si="24"/>
        <v>1</v>
      </c>
      <c r="Q59" s="4">
        <f t="shared" si="25"/>
        <v>0</v>
      </c>
      <c r="R59" s="4">
        <f t="shared" si="26"/>
        <v>0</v>
      </c>
      <c r="S59" s="4">
        <f t="shared" si="27"/>
        <v>1</v>
      </c>
      <c r="V59" s="4">
        <f t="shared" si="11"/>
        <v>0</v>
      </c>
      <c r="Y59" s="4">
        <f t="shared" si="12"/>
        <v>0</v>
      </c>
    </row>
    <row r="60" spans="1:25">
      <c r="A60" s="4">
        <f t="shared" si="19"/>
        <v>43721.55</v>
      </c>
      <c r="B60" s="4" t="s">
        <v>62</v>
      </c>
      <c r="C60" s="4">
        <v>43721.55</v>
      </c>
      <c r="D60" s="4">
        <v>44134.35</v>
      </c>
      <c r="E60" s="4">
        <v>1488.81</v>
      </c>
      <c r="F60" s="4">
        <v>43829.2</v>
      </c>
      <c r="H60" s="4">
        <v>43771.41</v>
      </c>
      <c r="I60" s="4">
        <v>44326.43</v>
      </c>
      <c r="J60" s="4">
        <v>1504.67</v>
      </c>
      <c r="K60" s="4">
        <v>43834.52</v>
      </c>
      <c r="L60" s="4">
        <f t="shared" si="20"/>
        <v>44134.35</v>
      </c>
      <c r="M60" s="4">
        <f t="shared" si="21"/>
        <v>43829.2</v>
      </c>
      <c r="N60" s="4">
        <f t="shared" si="22"/>
        <v>1</v>
      </c>
      <c r="O60" s="4">
        <f t="shared" si="23"/>
        <v>0</v>
      </c>
      <c r="P60" s="4">
        <f t="shared" si="24"/>
        <v>1</v>
      </c>
      <c r="Q60" s="4">
        <f t="shared" si="25"/>
        <v>0</v>
      </c>
      <c r="R60" s="4">
        <f t="shared" si="26"/>
        <v>1</v>
      </c>
      <c r="S60" s="4">
        <f t="shared" si="27"/>
        <v>0</v>
      </c>
      <c r="V60" s="4">
        <f t="shared" si="11"/>
        <v>0</v>
      </c>
      <c r="Y60" s="4">
        <f t="shared" si="12"/>
        <v>0</v>
      </c>
    </row>
    <row r="61" spans="1:25">
      <c r="A61" s="4">
        <f t="shared" si="19"/>
        <v>121351.14</v>
      </c>
      <c r="B61" s="4" t="s">
        <v>63</v>
      </c>
      <c r="C61" s="4">
        <v>121351.14</v>
      </c>
      <c r="D61" s="4">
        <v>122520.48</v>
      </c>
      <c r="E61" s="4">
        <v>1198</v>
      </c>
      <c r="F61" s="4">
        <v>121631.9</v>
      </c>
      <c r="H61" s="4">
        <v>121554.89</v>
      </c>
      <c r="I61" s="4">
        <v>122973.3</v>
      </c>
      <c r="J61" s="4">
        <v>1120.04</v>
      </c>
      <c r="K61" s="4">
        <v>121856.18</v>
      </c>
      <c r="L61" s="4">
        <f t="shared" si="20"/>
        <v>122520.48</v>
      </c>
      <c r="M61" s="4">
        <f t="shared" si="21"/>
        <v>121631.9</v>
      </c>
      <c r="N61" s="4">
        <f t="shared" si="22"/>
        <v>1</v>
      </c>
      <c r="O61" s="4">
        <f t="shared" si="23"/>
        <v>0</v>
      </c>
      <c r="P61" s="4">
        <f t="shared" si="24"/>
        <v>1</v>
      </c>
      <c r="Q61" s="4">
        <f t="shared" si="25"/>
        <v>0</v>
      </c>
      <c r="R61" s="4">
        <f t="shared" si="26"/>
        <v>1</v>
      </c>
      <c r="S61" s="4">
        <f t="shared" si="27"/>
        <v>0</v>
      </c>
      <c r="V61" s="4">
        <f t="shared" si="11"/>
        <v>0</v>
      </c>
      <c r="Y61" s="4">
        <f t="shared" si="12"/>
        <v>0</v>
      </c>
    </row>
    <row r="62" spans="1:25">
      <c r="A62" s="4">
        <f t="shared" si="19"/>
        <v>42243.96</v>
      </c>
      <c r="B62" s="4" t="s">
        <v>64</v>
      </c>
      <c r="C62" s="4">
        <v>42243.96</v>
      </c>
      <c r="D62" s="4">
        <v>43088.97</v>
      </c>
      <c r="E62" s="4">
        <v>1425.05</v>
      </c>
      <c r="F62" s="4">
        <v>42307.7</v>
      </c>
      <c r="H62" s="4">
        <v>43610.6</v>
      </c>
      <c r="I62" s="4">
        <v>44190</v>
      </c>
      <c r="J62" s="4">
        <v>1316.74</v>
      </c>
      <c r="K62" s="4">
        <v>43692.1</v>
      </c>
      <c r="L62" s="4">
        <f t="shared" si="20"/>
        <v>43088.97</v>
      </c>
      <c r="M62" s="4">
        <f t="shared" si="21"/>
        <v>42307.7</v>
      </c>
      <c r="N62" s="4">
        <f t="shared" si="22"/>
        <v>1</v>
      </c>
      <c r="O62" s="4">
        <f t="shared" si="23"/>
        <v>0</v>
      </c>
      <c r="P62" s="4">
        <f t="shared" si="24"/>
        <v>1</v>
      </c>
      <c r="Q62" s="4">
        <f t="shared" si="25"/>
        <v>0</v>
      </c>
      <c r="R62" s="4">
        <f t="shared" si="26"/>
        <v>1</v>
      </c>
      <c r="S62" s="4">
        <f t="shared" si="27"/>
        <v>0</v>
      </c>
      <c r="V62" s="4">
        <f t="shared" si="11"/>
        <v>0</v>
      </c>
      <c r="Y62" s="4">
        <f t="shared" si="12"/>
        <v>0</v>
      </c>
    </row>
    <row r="63" spans="1:25">
      <c r="A63" s="4">
        <f t="shared" si="19"/>
        <v>36350.620000000003</v>
      </c>
      <c r="B63" s="4" t="s">
        <v>65</v>
      </c>
      <c r="C63" s="4">
        <v>36350.620000000003</v>
      </c>
      <c r="D63" s="4">
        <v>36685.160000000003</v>
      </c>
      <c r="E63" s="4">
        <v>1488.08</v>
      </c>
      <c r="F63" s="4">
        <v>36448.9</v>
      </c>
      <c r="H63" s="4">
        <v>37343.980000000003</v>
      </c>
      <c r="I63" s="4">
        <v>38023.32</v>
      </c>
      <c r="J63" s="4">
        <v>1462.18</v>
      </c>
      <c r="K63" s="4">
        <v>37493.58</v>
      </c>
      <c r="L63" s="4">
        <f t="shared" si="20"/>
        <v>36685.160000000003</v>
      </c>
      <c r="M63" s="4">
        <f t="shared" si="21"/>
        <v>36448.9</v>
      </c>
      <c r="N63" s="4">
        <f t="shared" si="22"/>
        <v>1</v>
      </c>
      <c r="O63" s="4">
        <f t="shared" si="23"/>
        <v>0</v>
      </c>
      <c r="P63" s="4">
        <f t="shared" si="24"/>
        <v>1</v>
      </c>
      <c r="Q63" s="4">
        <f t="shared" si="25"/>
        <v>0</v>
      </c>
      <c r="R63" s="4">
        <f t="shared" si="26"/>
        <v>1</v>
      </c>
      <c r="S63" s="4">
        <f t="shared" si="27"/>
        <v>0</v>
      </c>
      <c r="V63" s="4">
        <f t="shared" si="11"/>
        <v>0</v>
      </c>
      <c r="Y63" s="4">
        <f t="shared" si="12"/>
        <v>0</v>
      </c>
    </row>
    <row r="64" spans="1:25">
      <c r="A64" s="4">
        <f t="shared" si="19"/>
        <v>35803.85</v>
      </c>
      <c r="B64" s="4" t="s">
        <v>66</v>
      </c>
      <c r="C64" s="4">
        <v>35803.85</v>
      </c>
      <c r="D64" s="4">
        <v>36256.54</v>
      </c>
      <c r="E64" s="4">
        <v>1511.16</v>
      </c>
      <c r="F64" s="4">
        <v>35853.199999999997</v>
      </c>
      <c r="H64" s="4">
        <v>36947.65</v>
      </c>
      <c r="I64" s="4">
        <v>37430.81</v>
      </c>
      <c r="J64" s="4">
        <v>1360.12</v>
      </c>
      <c r="K64" s="4">
        <v>37037.019999999997</v>
      </c>
      <c r="L64" s="4">
        <f t="shared" si="20"/>
        <v>36256.54</v>
      </c>
      <c r="M64" s="4">
        <f t="shared" si="21"/>
        <v>35853.199999999997</v>
      </c>
      <c r="N64" s="4">
        <f t="shared" si="22"/>
        <v>1</v>
      </c>
      <c r="O64" s="4">
        <f t="shared" si="23"/>
        <v>0</v>
      </c>
      <c r="P64" s="4">
        <f t="shared" si="24"/>
        <v>1</v>
      </c>
      <c r="Q64" s="4">
        <f t="shared" si="25"/>
        <v>0</v>
      </c>
      <c r="R64" s="4">
        <f t="shared" si="26"/>
        <v>1</v>
      </c>
      <c r="S64" s="4">
        <f t="shared" si="27"/>
        <v>0</v>
      </c>
      <c r="V64" s="4">
        <f t="shared" si="11"/>
        <v>0</v>
      </c>
      <c r="Y64" s="4">
        <f t="shared" si="12"/>
        <v>0</v>
      </c>
    </row>
    <row r="65" spans="1:25">
      <c r="A65" s="4">
        <f t="shared" si="19"/>
        <v>119484.04</v>
      </c>
      <c r="B65" s="4" t="s">
        <v>67</v>
      </c>
      <c r="C65" s="4">
        <v>119484.04</v>
      </c>
      <c r="D65" s="4">
        <v>120939.04</v>
      </c>
      <c r="E65" s="4">
        <v>1597.88</v>
      </c>
      <c r="F65" s="4">
        <v>119510.2</v>
      </c>
      <c r="H65" s="4">
        <v>124447.22</v>
      </c>
      <c r="I65" s="4">
        <v>125503.19</v>
      </c>
      <c r="J65" s="4">
        <v>1085.18</v>
      </c>
      <c r="K65" s="4">
        <v>124504.05</v>
      </c>
      <c r="L65" s="4">
        <f t="shared" si="20"/>
        <v>120939.04</v>
      </c>
      <c r="M65" s="4">
        <f t="shared" si="21"/>
        <v>119510.2</v>
      </c>
      <c r="N65" s="4">
        <f t="shared" si="22"/>
        <v>1</v>
      </c>
      <c r="O65" s="4">
        <f t="shared" si="23"/>
        <v>0</v>
      </c>
      <c r="P65" s="4">
        <f t="shared" si="24"/>
        <v>1</v>
      </c>
      <c r="Q65" s="4">
        <f t="shared" si="25"/>
        <v>0</v>
      </c>
      <c r="R65" s="4">
        <f t="shared" si="26"/>
        <v>1</v>
      </c>
      <c r="S65" s="4">
        <f t="shared" si="27"/>
        <v>0</v>
      </c>
      <c r="V65" s="4">
        <f t="shared" si="11"/>
        <v>0</v>
      </c>
      <c r="Y65" s="4">
        <f t="shared" si="12"/>
        <v>0</v>
      </c>
    </row>
    <row r="66" spans="1:25">
      <c r="A66" s="4">
        <f t="shared" si="19"/>
        <v>114372.69</v>
      </c>
      <c r="B66" s="4" t="s">
        <v>68</v>
      </c>
      <c r="C66" s="4">
        <v>114372.69</v>
      </c>
      <c r="D66" s="4">
        <v>115674.54</v>
      </c>
      <c r="E66" s="4">
        <v>1425.97</v>
      </c>
      <c r="F66" s="4">
        <v>114316.4</v>
      </c>
      <c r="H66" s="4">
        <v>118116.78</v>
      </c>
      <c r="I66" s="4">
        <v>119264.55</v>
      </c>
      <c r="J66" s="4">
        <v>1088.3399999999999</v>
      </c>
      <c r="K66" s="4">
        <v>118314.6</v>
      </c>
      <c r="L66" s="4">
        <f t="shared" si="20"/>
        <v>115674.54</v>
      </c>
      <c r="M66" s="4">
        <f t="shared" si="21"/>
        <v>114316.4</v>
      </c>
      <c r="N66" s="4">
        <f t="shared" si="22"/>
        <v>1</v>
      </c>
      <c r="O66" s="4">
        <f t="shared" si="23"/>
        <v>0</v>
      </c>
      <c r="P66" s="4">
        <f t="shared" si="24"/>
        <v>1</v>
      </c>
      <c r="Q66" s="4">
        <f t="shared" si="25"/>
        <v>0</v>
      </c>
      <c r="R66" s="4">
        <f t="shared" si="26"/>
        <v>1</v>
      </c>
      <c r="S66" s="4">
        <f t="shared" si="27"/>
        <v>0</v>
      </c>
      <c r="V66" s="4">
        <f t="shared" si="11"/>
        <v>0</v>
      </c>
      <c r="Y66" s="4">
        <f t="shared" si="12"/>
        <v>0</v>
      </c>
    </row>
    <row r="67" spans="1:25">
      <c r="A67" s="4">
        <f t="shared" si="19"/>
        <v>181321.26</v>
      </c>
      <c r="B67" s="4" t="s">
        <v>69</v>
      </c>
      <c r="C67" s="4">
        <v>181321.26</v>
      </c>
      <c r="D67" s="4">
        <v>182234.31</v>
      </c>
      <c r="E67" s="4">
        <v>1543.91</v>
      </c>
      <c r="F67" s="4">
        <v>181231.9</v>
      </c>
      <c r="H67" s="4">
        <v>186034.66</v>
      </c>
      <c r="I67" s="4">
        <v>186976.64000000001</v>
      </c>
      <c r="J67" s="4">
        <v>974.27</v>
      </c>
      <c r="K67" s="4">
        <v>186061.62</v>
      </c>
      <c r="L67" s="4">
        <f t="shared" si="20"/>
        <v>182234.31</v>
      </c>
      <c r="M67" s="4">
        <f t="shared" si="21"/>
        <v>181231.9</v>
      </c>
      <c r="N67" s="4">
        <f t="shared" si="22"/>
        <v>1</v>
      </c>
      <c r="O67" s="4">
        <f t="shared" si="23"/>
        <v>0</v>
      </c>
      <c r="P67" s="4">
        <f t="shared" si="24"/>
        <v>1</v>
      </c>
      <c r="Q67" s="4">
        <f t="shared" si="25"/>
        <v>0</v>
      </c>
      <c r="R67" s="4">
        <f t="shared" si="26"/>
        <v>1</v>
      </c>
      <c r="S67" s="4">
        <f t="shared" si="27"/>
        <v>0</v>
      </c>
      <c r="V67" s="4">
        <f t="shared" si="11"/>
        <v>0</v>
      </c>
      <c r="Y67" s="4">
        <f t="shared" si="12"/>
        <v>0</v>
      </c>
    </row>
    <row r="68" spans="1:25">
      <c r="A68" s="4">
        <f t="shared" si="19"/>
        <v>180282.84</v>
      </c>
      <c r="B68" s="4" t="s">
        <v>70</v>
      </c>
      <c r="C68" s="4">
        <v>180282.84</v>
      </c>
      <c r="D68" s="4">
        <v>182310.96</v>
      </c>
      <c r="E68" s="4">
        <v>1038.2</v>
      </c>
      <c r="F68" s="4">
        <v>180337.5</v>
      </c>
      <c r="H68" s="4">
        <v>185305.9</v>
      </c>
      <c r="I68" s="4">
        <v>186319.35</v>
      </c>
      <c r="J68" s="4">
        <v>1397.24</v>
      </c>
      <c r="K68" s="4">
        <v>185272.83</v>
      </c>
      <c r="L68" s="4">
        <f t="shared" si="20"/>
        <v>182310.96</v>
      </c>
      <c r="M68" s="4">
        <f t="shared" si="21"/>
        <v>180337.5</v>
      </c>
      <c r="N68" s="4">
        <f t="shared" si="22"/>
        <v>1</v>
      </c>
      <c r="O68" s="4">
        <f t="shared" si="23"/>
        <v>0</v>
      </c>
      <c r="P68" s="4">
        <f t="shared" si="24"/>
        <v>1</v>
      </c>
      <c r="Q68" s="4">
        <f t="shared" si="25"/>
        <v>0</v>
      </c>
      <c r="R68" s="4">
        <f t="shared" si="26"/>
        <v>1</v>
      </c>
      <c r="S68" s="4">
        <f t="shared" si="27"/>
        <v>0</v>
      </c>
      <c r="V68" s="4">
        <f t="shared" si="11"/>
        <v>0</v>
      </c>
      <c r="Y68" s="4">
        <f t="shared" si="12"/>
        <v>0</v>
      </c>
    </row>
    <row r="69" spans="1:25">
      <c r="A69" s="4">
        <f t="shared" si="19"/>
        <v>425567.18</v>
      </c>
      <c r="B69" s="4" t="s">
        <v>71</v>
      </c>
      <c r="C69" s="4">
        <v>425567.18</v>
      </c>
      <c r="D69" s="4">
        <v>427706.71</v>
      </c>
      <c r="E69" s="4">
        <v>1183.53</v>
      </c>
      <c r="F69" s="4">
        <v>425714.7</v>
      </c>
      <c r="H69" s="4">
        <v>427878.71</v>
      </c>
      <c r="I69" s="4">
        <v>437674.65</v>
      </c>
      <c r="J69" s="4">
        <v>1199.45</v>
      </c>
      <c r="K69" s="4">
        <v>427920.1</v>
      </c>
      <c r="L69" s="4">
        <f t="shared" si="20"/>
        <v>427706.71</v>
      </c>
      <c r="M69" s="4">
        <f t="shared" si="21"/>
        <v>425714.7</v>
      </c>
      <c r="N69" s="4">
        <f t="shared" si="22"/>
        <v>1</v>
      </c>
      <c r="O69" s="4">
        <f t="shared" si="23"/>
        <v>0</v>
      </c>
      <c r="P69" s="4">
        <f t="shared" si="24"/>
        <v>1</v>
      </c>
      <c r="Q69" s="4">
        <f t="shared" si="25"/>
        <v>0</v>
      </c>
      <c r="R69" s="4">
        <f t="shared" si="26"/>
        <v>1</v>
      </c>
      <c r="S69" s="4">
        <f t="shared" si="27"/>
        <v>0</v>
      </c>
      <c r="V69" s="4">
        <f t="shared" si="11"/>
        <v>0</v>
      </c>
      <c r="Y69" s="4">
        <f t="shared" si="12"/>
        <v>0</v>
      </c>
    </row>
    <row r="70" spans="1:25">
      <c r="A70" s="4">
        <f t="shared" si="19"/>
        <v>417126.04</v>
      </c>
      <c r="B70" s="4" t="s">
        <v>72</v>
      </c>
      <c r="C70" s="4">
        <v>417126.04</v>
      </c>
      <c r="D70" s="4">
        <v>418412.27</v>
      </c>
      <c r="E70" s="4">
        <v>1205.1300000000001</v>
      </c>
      <c r="F70" s="4">
        <v>417445.2</v>
      </c>
      <c r="H70" s="4">
        <v>424872.36</v>
      </c>
      <c r="I70" s="4">
        <v>426946.82</v>
      </c>
      <c r="J70" s="4">
        <v>1196.04</v>
      </c>
      <c r="K70" s="4">
        <v>425052.3</v>
      </c>
      <c r="L70" s="4">
        <f t="shared" si="20"/>
        <v>418412.27</v>
      </c>
      <c r="M70" s="4">
        <f t="shared" si="21"/>
        <v>417445.2</v>
      </c>
      <c r="N70" s="4">
        <f t="shared" si="22"/>
        <v>1</v>
      </c>
      <c r="O70" s="4">
        <f t="shared" si="23"/>
        <v>0</v>
      </c>
      <c r="P70" s="4">
        <f t="shared" si="24"/>
        <v>1</v>
      </c>
      <c r="Q70" s="4">
        <f t="shared" si="25"/>
        <v>0</v>
      </c>
      <c r="R70" s="4">
        <f t="shared" si="26"/>
        <v>1</v>
      </c>
      <c r="S70" s="4">
        <f t="shared" si="27"/>
        <v>0</v>
      </c>
      <c r="V70" s="4">
        <f t="shared" si="11"/>
        <v>0</v>
      </c>
      <c r="Y70" s="4">
        <f t="shared" si="12"/>
        <v>0</v>
      </c>
    </row>
    <row r="71" spans="1:25">
      <c r="A71" s="4">
        <f t="shared" si="19"/>
        <v>531970.13</v>
      </c>
      <c r="B71" s="4" t="s">
        <v>73</v>
      </c>
      <c r="C71" s="4">
        <v>531970.13</v>
      </c>
      <c r="D71" s="4">
        <v>534372.97</v>
      </c>
      <c r="E71" s="4">
        <v>1252.19</v>
      </c>
      <c r="F71" s="4">
        <v>531943.30000000005</v>
      </c>
      <c r="H71" s="4">
        <v>538201.68999999994</v>
      </c>
      <c r="I71" s="4">
        <v>543529.88</v>
      </c>
      <c r="J71" s="4">
        <v>1470.54</v>
      </c>
      <c r="K71" s="4">
        <v>538146.35</v>
      </c>
      <c r="L71" s="4">
        <f t="shared" si="20"/>
        <v>534372.97</v>
      </c>
      <c r="M71" s="4">
        <f t="shared" si="21"/>
        <v>531943.30000000005</v>
      </c>
      <c r="N71" s="4">
        <f t="shared" si="22"/>
        <v>1</v>
      </c>
      <c r="O71" s="4">
        <f t="shared" si="23"/>
        <v>0</v>
      </c>
      <c r="P71" s="4">
        <f t="shared" si="24"/>
        <v>1</v>
      </c>
      <c r="Q71" s="4">
        <f t="shared" si="25"/>
        <v>0</v>
      </c>
      <c r="R71" s="4">
        <f t="shared" si="26"/>
        <v>1</v>
      </c>
      <c r="S71" s="4">
        <f t="shared" si="27"/>
        <v>0</v>
      </c>
      <c r="V71" s="4">
        <f t="shared" si="11"/>
        <v>0</v>
      </c>
      <c r="Y71" s="4">
        <f t="shared" si="12"/>
        <v>0</v>
      </c>
    </row>
    <row r="72" spans="1:25">
      <c r="A72" s="4">
        <f t="shared" si="19"/>
        <v>532976.86</v>
      </c>
      <c r="B72" s="4" t="s">
        <v>74</v>
      </c>
      <c r="C72" s="4">
        <v>532976.86</v>
      </c>
      <c r="D72" s="4">
        <v>535436.84</v>
      </c>
      <c r="E72" s="4">
        <v>1136.58</v>
      </c>
      <c r="F72" s="4">
        <v>533136.6</v>
      </c>
      <c r="H72" s="4">
        <v>538982.26</v>
      </c>
      <c r="I72" s="4">
        <v>548373.79</v>
      </c>
      <c r="J72" s="4">
        <v>1622.51</v>
      </c>
      <c r="K72" s="4">
        <v>538753.18999999994</v>
      </c>
      <c r="L72" s="4">
        <f t="shared" si="20"/>
        <v>535436.84</v>
      </c>
      <c r="M72" s="4">
        <f t="shared" si="21"/>
        <v>533136.6</v>
      </c>
      <c r="N72" s="4">
        <f t="shared" si="22"/>
        <v>1</v>
      </c>
      <c r="O72" s="4">
        <f t="shared" si="23"/>
        <v>0</v>
      </c>
      <c r="P72" s="4">
        <f t="shared" si="24"/>
        <v>1</v>
      </c>
      <c r="Q72" s="4">
        <f t="shared" si="25"/>
        <v>0</v>
      </c>
      <c r="R72" s="4">
        <f t="shared" si="26"/>
        <v>1</v>
      </c>
      <c r="S72" s="4">
        <f t="shared" si="27"/>
        <v>0</v>
      </c>
      <c r="V72" s="4">
        <f t="shared" si="11"/>
        <v>0</v>
      </c>
      <c r="Y72" s="4">
        <f t="shared" si="12"/>
        <v>0</v>
      </c>
    </row>
    <row r="73" spans="1:25">
      <c r="A73" s="4">
        <f t="shared" si="19"/>
        <v>1096037.7</v>
      </c>
      <c r="B73" s="4" t="s">
        <v>75</v>
      </c>
      <c r="C73" s="4">
        <v>1096037.7</v>
      </c>
      <c r="D73" s="4">
        <v>1098380.31</v>
      </c>
      <c r="E73" s="4">
        <v>1121.46</v>
      </c>
      <c r="F73" s="4">
        <v>1095927.7</v>
      </c>
      <c r="H73" s="4">
        <v>1185688.1499999999</v>
      </c>
      <c r="I73" s="4">
        <v>1227276.7</v>
      </c>
      <c r="J73" s="4">
        <v>1826.21</v>
      </c>
      <c r="K73" s="4">
        <v>1185545.17</v>
      </c>
      <c r="L73" s="4">
        <f t="shared" si="20"/>
        <v>1098380.31</v>
      </c>
      <c r="M73" s="4">
        <f t="shared" si="21"/>
        <v>1095927.7</v>
      </c>
      <c r="N73" s="4">
        <f t="shared" si="22"/>
        <v>1</v>
      </c>
      <c r="O73" s="4">
        <f t="shared" si="23"/>
        <v>0</v>
      </c>
      <c r="P73" s="4">
        <f t="shared" si="24"/>
        <v>1</v>
      </c>
      <c r="Q73" s="4">
        <f t="shared" si="25"/>
        <v>0</v>
      </c>
      <c r="R73" s="4">
        <f t="shared" si="26"/>
        <v>1</v>
      </c>
      <c r="S73" s="4">
        <f t="shared" si="27"/>
        <v>0</v>
      </c>
      <c r="V73" s="4">
        <f t="shared" si="11"/>
        <v>0</v>
      </c>
      <c r="Y73" s="4">
        <f t="shared" si="12"/>
        <v>0</v>
      </c>
    </row>
    <row r="74" spans="1:25">
      <c r="A74" s="4">
        <f t="shared" si="19"/>
        <v>1098289.2</v>
      </c>
      <c r="B74" s="4" t="s">
        <v>76</v>
      </c>
      <c r="C74" s="4">
        <v>1098289.2</v>
      </c>
      <c r="D74" s="4">
        <v>1100530.49</v>
      </c>
      <c r="E74" s="4">
        <v>1185.06</v>
      </c>
      <c r="F74" s="4">
        <v>1098116.3999999999</v>
      </c>
      <c r="H74" s="4">
        <v>1204535.1399999999</v>
      </c>
      <c r="I74" s="4">
        <v>1223809.6100000001</v>
      </c>
      <c r="J74" s="4">
        <v>1863.86</v>
      </c>
      <c r="K74" s="4">
        <v>1204214.92</v>
      </c>
      <c r="L74" s="4">
        <f t="shared" si="20"/>
        <v>1100530.49</v>
      </c>
      <c r="M74" s="4">
        <f t="shared" si="21"/>
        <v>1098116.3999999999</v>
      </c>
      <c r="N74" s="4">
        <f t="shared" si="22"/>
        <v>1</v>
      </c>
      <c r="O74" s="4">
        <f t="shared" si="23"/>
        <v>0</v>
      </c>
      <c r="P74" s="4">
        <f t="shared" si="24"/>
        <v>1</v>
      </c>
      <c r="Q74" s="4">
        <f t="shared" si="25"/>
        <v>0</v>
      </c>
      <c r="R74" s="4">
        <f t="shared" si="26"/>
        <v>1</v>
      </c>
      <c r="S74" s="4">
        <f t="shared" si="27"/>
        <v>0</v>
      </c>
      <c r="V74" s="4">
        <f t="shared" si="11"/>
        <v>0</v>
      </c>
      <c r="Y74" s="4">
        <f t="shared" si="12"/>
        <v>0</v>
      </c>
    </row>
    <row r="75" spans="1:25">
      <c r="A75" s="4">
        <f t="shared" si="19"/>
        <v>2230299.83</v>
      </c>
      <c r="B75" s="4" t="s">
        <v>77</v>
      </c>
      <c r="C75" s="4">
        <v>2230299.83</v>
      </c>
      <c r="D75" s="4">
        <v>2235966.9700000002</v>
      </c>
      <c r="E75" s="4">
        <v>856.97</v>
      </c>
      <c r="F75" s="4">
        <v>2229970.4</v>
      </c>
      <c r="H75" s="4">
        <v>2403263.91</v>
      </c>
      <c r="I75" s="4">
        <v>2453443.34</v>
      </c>
      <c r="J75" s="4">
        <v>1874.41</v>
      </c>
      <c r="K75" s="4">
        <v>2402721.2200000002</v>
      </c>
      <c r="L75" s="4">
        <f t="shared" si="20"/>
        <v>2235966.9700000002</v>
      </c>
      <c r="M75" s="4">
        <f t="shared" si="21"/>
        <v>2229970.4</v>
      </c>
      <c r="N75" s="4">
        <f t="shared" si="22"/>
        <v>1</v>
      </c>
      <c r="O75" s="4">
        <f t="shared" si="23"/>
        <v>0</v>
      </c>
      <c r="P75" s="4">
        <f t="shared" si="24"/>
        <v>1</v>
      </c>
      <c r="Q75" s="4">
        <f t="shared" si="25"/>
        <v>0</v>
      </c>
      <c r="R75" s="4">
        <f t="shared" si="26"/>
        <v>1</v>
      </c>
      <c r="S75" s="4">
        <f t="shared" si="27"/>
        <v>0</v>
      </c>
      <c r="V75" s="4">
        <f t="shared" si="11"/>
        <v>0</v>
      </c>
      <c r="Y75" s="4">
        <f t="shared" si="12"/>
        <v>0</v>
      </c>
    </row>
    <row r="76" spans="1:25">
      <c r="A76" s="4">
        <f t="shared" si="19"/>
        <v>2239781.38</v>
      </c>
      <c r="B76" s="4" t="s">
        <v>78</v>
      </c>
      <c r="C76" s="4">
        <v>2239781.38</v>
      </c>
      <c r="D76" s="4">
        <v>2244886.98</v>
      </c>
      <c r="E76" s="4">
        <v>868.4</v>
      </c>
      <c r="F76" s="4">
        <v>2239764.5</v>
      </c>
      <c r="H76" s="4">
        <v>2485230.3199999998</v>
      </c>
      <c r="I76" s="4">
        <v>2519999.2799999998</v>
      </c>
      <c r="J76" s="4">
        <v>1895.31</v>
      </c>
      <c r="K76" s="4">
        <v>2484962.77</v>
      </c>
      <c r="L76" s="4">
        <f t="shared" si="20"/>
        <v>2244886.98</v>
      </c>
      <c r="M76" s="4">
        <f t="shared" si="21"/>
        <v>2239764.5</v>
      </c>
      <c r="N76" s="4">
        <f t="shared" si="22"/>
        <v>1</v>
      </c>
      <c r="O76" s="4">
        <f t="shared" si="23"/>
        <v>0</v>
      </c>
      <c r="P76" s="4">
        <f t="shared" si="24"/>
        <v>1</v>
      </c>
      <c r="Q76" s="4">
        <f t="shared" si="25"/>
        <v>0</v>
      </c>
      <c r="R76" s="4">
        <f t="shared" si="26"/>
        <v>1</v>
      </c>
      <c r="S76" s="4">
        <f t="shared" si="27"/>
        <v>0</v>
      </c>
      <c r="V76" s="4">
        <f t="shared" si="11"/>
        <v>0</v>
      </c>
      <c r="Y76" s="4">
        <f t="shared" si="12"/>
        <v>0</v>
      </c>
    </row>
    <row r="77" spans="1:25">
      <c r="T77" s="4">
        <f>SUM(N53:N76)</f>
        <v>22</v>
      </c>
      <c r="U77" s="4">
        <f>SUM(O53:O76)</f>
        <v>3</v>
      </c>
      <c r="V77" s="4">
        <f>SUM(V53:V76)</f>
        <v>1</v>
      </c>
      <c r="W77" s="4">
        <f>SUM(P53:P76)</f>
        <v>23</v>
      </c>
      <c r="X77" s="4">
        <f>SUM(Q53:Q76)</f>
        <v>1</v>
      </c>
      <c r="Y77" s="4">
        <f>SUM(Y53:Y76)</f>
        <v>0</v>
      </c>
    </row>
    <row r="80" spans="1:25">
      <c r="J80" s="4" t="s">
        <v>101</v>
      </c>
      <c r="K80" s="4" t="s">
        <v>100</v>
      </c>
      <c r="L80" s="4">
        <f>T27-V27</f>
        <v>21</v>
      </c>
      <c r="M80" s="4" t="s">
        <v>100</v>
      </c>
      <c r="N80" s="4">
        <f>V27</f>
        <v>3</v>
      </c>
      <c r="O80" s="4" t="s">
        <v>100</v>
      </c>
      <c r="P80" s="4">
        <f>U27-V27</f>
        <v>0</v>
      </c>
      <c r="Q80" s="4" t="s">
        <v>140</v>
      </c>
      <c r="R80" s="4">
        <f>W27-Y27</f>
        <v>23</v>
      </c>
      <c r="S80" s="4" t="s">
        <v>100</v>
      </c>
      <c r="T80" s="4">
        <f>Y27</f>
        <v>1</v>
      </c>
      <c r="U80" s="4" t="s">
        <v>100</v>
      </c>
      <c r="V80" s="4">
        <f>X27-Y27</f>
        <v>0</v>
      </c>
      <c r="Y80" s="4" t="s">
        <v>102</v>
      </c>
    </row>
    <row r="81" spans="10:25">
      <c r="J81" s="4" t="s">
        <v>103</v>
      </c>
      <c r="K81" s="4" t="s">
        <v>100</v>
      </c>
      <c r="L81" s="4">
        <f>T52-V52</f>
        <v>24</v>
      </c>
      <c r="M81" s="4" t="s">
        <v>100</v>
      </c>
      <c r="N81" s="4">
        <f>V52</f>
        <v>0</v>
      </c>
      <c r="O81" s="4" t="s">
        <v>100</v>
      </c>
      <c r="P81" s="4">
        <f>U52-V52</f>
        <v>0</v>
      </c>
      <c r="Q81" s="4" t="s">
        <v>140</v>
      </c>
      <c r="R81" s="4">
        <f>W52-Y52</f>
        <v>24</v>
      </c>
      <c r="S81" s="4" t="s">
        <v>100</v>
      </c>
      <c r="T81" s="4">
        <f>Y52</f>
        <v>0</v>
      </c>
      <c r="U81" s="4" t="s">
        <v>100</v>
      </c>
      <c r="V81" s="4">
        <f>X52-Y52</f>
        <v>0</v>
      </c>
      <c r="Y81" s="4" t="s">
        <v>102</v>
      </c>
    </row>
    <row r="82" spans="10:25">
      <c r="J82" s="4" t="s">
        <v>104</v>
      </c>
      <c r="K82" s="4" t="s">
        <v>100</v>
      </c>
      <c r="L82" s="4">
        <f>T77-V77</f>
        <v>21</v>
      </c>
      <c r="M82" s="4" t="s">
        <v>100</v>
      </c>
      <c r="N82" s="4">
        <f>V77</f>
        <v>1</v>
      </c>
      <c r="O82" s="4" t="s">
        <v>100</v>
      </c>
      <c r="P82" s="4">
        <f>U77-V77</f>
        <v>2</v>
      </c>
      <c r="Q82" s="4" t="s">
        <v>140</v>
      </c>
      <c r="R82" s="4">
        <f>W77-Y77</f>
        <v>23</v>
      </c>
      <c r="S82" s="4" t="s">
        <v>100</v>
      </c>
      <c r="T82" s="4">
        <f>Y77</f>
        <v>0</v>
      </c>
      <c r="U82" s="4" t="s">
        <v>100</v>
      </c>
      <c r="V82" s="4">
        <f>X77-Y77</f>
        <v>1</v>
      </c>
      <c r="Y82" s="4" t="s">
        <v>102</v>
      </c>
    </row>
    <row r="83" spans="10:25">
      <c r="J83" s="4" t="s">
        <v>105</v>
      </c>
      <c r="K83" s="4" t="s">
        <v>100</v>
      </c>
      <c r="L83" s="4">
        <f>SUM(L80:L82)</f>
        <v>66</v>
      </c>
      <c r="M83" s="4" t="s">
        <v>100</v>
      </c>
      <c r="N83" s="4">
        <f>SUM(N80:N82)</f>
        <v>4</v>
      </c>
      <c r="O83" s="4" t="s">
        <v>100</v>
      </c>
      <c r="P83" s="4">
        <f>SUM(P80:P82)</f>
        <v>2</v>
      </c>
      <c r="Q83" s="4" t="s">
        <v>140</v>
      </c>
      <c r="R83" s="4">
        <f>SUM(R80:R82)</f>
        <v>70</v>
      </c>
      <c r="S83" s="4" t="s">
        <v>100</v>
      </c>
      <c r="T83" s="4">
        <f>SUM(T80:T82)</f>
        <v>1</v>
      </c>
      <c r="U83" s="4" t="s">
        <v>100</v>
      </c>
      <c r="V83" s="4">
        <f>SUM(V80:V82)</f>
        <v>1</v>
      </c>
      <c r="Y83" s="4" t="s">
        <v>102</v>
      </c>
    </row>
    <row r="84" spans="10:25">
      <c r="J84" s="4" t="s">
        <v>113</v>
      </c>
    </row>
    <row r="85" spans="10:25">
      <c r="J85" s="4" t="s">
        <v>141</v>
      </c>
      <c r="K85" s="4" t="s">
        <v>142</v>
      </c>
      <c r="L85" s="13">
        <v>5.8469999999999996E-12</v>
      </c>
      <c r="Q85" s="4" t="s">
        <v>143</v>
      </c>
      <c r="T85" s="13">
        <v>5.1056E-13</v>
      </c>
      <c r="Y85" s="4" t="s">
        <v>144</v>
      </c>
    </row>
  </sheetData>
  <mergeCells count="2">
    <mergeCell ref="C1:E1"/>
    <mergeCell ref="H1:K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1BC4-6FDA-4456-8394-27D9589C961D}">
  <dimension ref="A4:BD162"/>
  <sheetViews>
    <sheetView topLeftCell="A40" zoomScale="130" zoomScaleNormal="130" workbookViewId="0">
      <selection activeCell="AC24" sqref="AC24"/>
    </sheetView>
  </sheetViews>
  <sheetFormatPr defaultColWidth="9" defaultRowHeight="14"/>
  <cols>
    <col min="1" max="1" width="11.36328125" style="4" bestFit="1" customWidth="1"/>
    <col min="2" max="3" width="9" style="4"/>
    <col min="4" max="5" width="11.36328125" style="4" bestFit="1" customWidth="1"/>
    <col min="6" max="6" width="9.7265625" style="4" customWidth="1"/>
    <col min="7" max="9" width="10.26953125" style="4" bestFit="1" customWidth="1"/>
    <col min="10" max="10" width="11.36328125" style="4" bestFit="1" customWidth="1"/>
    <col min="11" max="11" width="9.08984375" style="4" bestFit="1" customWidth="1"/>
    <col min="12" max="13" width="10.26953125" style="4" bestFit="1" customWidth="1"/>
    <col min="14" max="14" width="11.36328125" style="4" bestFit="1" customWidth="1"/>
    <col min="15" max="15" width="9.08984375" style="4" bestFit="1" customWidth="1"/>
    <col min="16" max="17" width="10.26953125" style="4" bestFit="1" customWidth="1"/>
    <col min="18" max="18" width="11.36328125" style="4" bestFit="1" customWidth="1"/>
    <col min="19" max="19" width="9.08984375" style="4" bestFit="1" customWidth="1"/>
    <col min="20" max="20" width="10.26953125" style="4" bestFit="1" customWidth="1"/>
    <col min="21" max="21" width="9" style="4"/>
    <col min="22" max="22" width="11.36328125" style="4" bestFit="1" customWidth="1"/>
    <col min="23" max="24" width="9.08984375" style="4" bestFit="1" customWidth="1"/>
    <col min="25" max="25" width="11.36328125" style="4" bestFit="1" customWidth="1"/>
    <col min="26" max="26" width="10.26953125" style="4" bestFit="1" customWidth="1"/>
    <col min="27" max="27" width="9" style="4"/>
    <col min="28" max="28" width="10.26953125" style="4" bestFit="1" customWidth="1"/>
    <col min="29" max="31" width="11.36328125" style="4" bestFit="1" customWidth="1"/>
    <col min="32" max="32" width="9.08984375" style="4" bestFit="1" customWidth="1"/>
    <col min="33" max="33" width="9" style="4"/>
    <col min="34" max="34" width="10.26953125" style="4" bestFit="1" customWidth="1"/>
    <col min="35" max="36" width="9" style="4"/>
    <col min="37" max="37" width="21.81640625" style="4" customWidth="1"/>
    <col min="38" max="38" width="9" style="4"/>
    <col min="39" max="39" width="20.90625" style="4" customWidth="1"/>
    <col min="40" max="40" width="9" style="4"/>
    <col min="41" max="41" width="9.08984375" style="4" bestFit="1" customWidth="1"/>
    <col min="42" max="42" width="9" style="4"/>
    <col min="43" max="43" width="9.08984375" style="4" bestFit="1" customWidth="1"/>
    <col min="44" max="44" width="9" style="4"/>
    <col min="45" max="45" width="9.08984375" style="4" bestFit="1" customWidth="1"/>
    <col min="46" max="46" width="9" style="4"/>
    <col min="47" max="47" width="11" style="4" customWidth="1"/>
    <col min="48" max="48" width="9" style="4"/>
    <col min="49" max="49" width="9.08984375" style="4" bestFit="1" customWidth="1"/>
    <col min="50" max="50" width="9" style="4"/>
    <col min="51" max="51" width="9.08984375" style="4" bestFit="1" customWidth="1"/>
    <col min="52" max="52" width="9" style="4"/>
    <col min="53" max="53" width="9.08984375" style="4" bestFit="1" customWidth="1"/>
    <col min="54" max="54" width="9" style="4"/>
    <col min="55" max="55" width="9.1796875" style="4" bestFit="1" customWidth="1"/>
    <col min="56" max="16384" width="9" style="4"/>
  </cols>
  <sheetData>
    <row r="4" spans="1:56">
      <c r="D4" s="28" t="s">
        <v>0</v>
      </c>
      <c r="E4" s="28"/>
      <c r="F4" s="28"/>
      <c r="G4" s="28"/>
      <c r="H4" s="28"/>
      <c r="L4" s="28" t="s">
        <v>79</v>
      </c>
      <c r="M4" s="28"/>
      <c r="N4" s="28"/>
      <c r="O4" s="28"/>
      <c r="P4" s="28"/>
      <c r="T4" s="28" t="s">
        <v>1</v>
      </c>
      <c r="U4" s="28"/>
      <c r="V4" s="28"/>
      <c r="W4" s="28"/>
      <c r="X4" s="28"/>
      <c r="AB4" s="28" t="s">
        <v>2</v>
      </c>
      <c r="AC4" s="28"/>
      <c r="AD4" s="28"/>
      <c r="AE4" s="28"/>
      <c r="AF4" s="28"/>
      <c r="AG4" s="11"/>
      <c r="AH4" s="11"/>
    </row>
    <row r="5" spans="1:56">
      <c r="D5" s="4" t="s">
        <v>133</v>
      </c>
      <c r="F5" s="4" t="s">
        <v>134</v>
      </c>
      <c r="H5" s="4" t="s">
        <v>135</v>
      </c>
      <c r="J5" s="4" t="s">
        <v>6</v>
      </c>
      <c r="L5" s="4" t="s">
        <v>133</v>
      </c>
      <c r="N5" s="4" t="s">
        <v>134</v>
      </c>
      <c r="P5" s="4" t="s">
        <v>135</v>
      </c>
      <c r="R5" s="4" t="s">
        <v>6</v>
      </c>
      <c r="T5" s="4" t="s">
        <v>133</v>
      </c>
      <c r="V5" s="4" t="s">
        <v>134</v>
      </c>
      <c r="X5" s="4" t="s">
        <v>135</v>
      </c>
      <c r="Z5" s="4" t="s">
        <v>6</v>
      </c>
      <c r="AB5" s="4" t="s">
        <v>133</v>
      </c>
      <c r="AD5" s="4" t="s">
        <v>134</v>
      </c>
      <c r="AF5" s="4" t="s">
        <v>135</v>
      </c>
      <c r="AH5" s="4" t="s">
        <v>6</v>
      </c>
    </row>
    <row r="6" spans="1:56">
      <c r="A6" s="4">
        <f>MIN(D6,L6,T6,AB6)</f>
        <v>5441.25</v>
      </c>
      <c r="B6" s="4" t="s">
        <v>7</v>
      </c>
      <c r="C6" s="4" t="s">
        <v>100</v>
      </c>
      <c r="D6" s="4">
        <f>D89</f>
        <v>5441.25</v>
      </c>
      <c r="E6" s="4" t="s">
        <v>100</v>
      </c>
      <c r="F6" s="4">
        <f>E89</f>
        <v>5441.25</v>
      </c>
      <c r="G6" s="4" t="s">
        <v>100</v>
      </c>
      <c r="H6" s="4">
        <f>F89</f>
        <v>8.76</v>
      </c>
      <c r="I6" s="4" t="s">
        <v>100</v>
      </c>
      <c r="J6" s="4">
        <f>G89</f>
        <v>5443.3</v>
      </c>
      <c r="K6" s="4" t="s">
        <v>100</v>
      </c>
      <c r="L6" s="4">
        <f>I89</f>
        <v>6181.1</v>
      </c>
      <c r="M6" s="4" t="s">
        <v>100</v>
      </c>
      <c r="N6" s="4">
        <f>J89</f>
        <v>6181.15</v>
      </c>
      <c r="O6" s="4" t="s">
        <v>100</v>
      </c>
      <c r="P6" s="4">
        <f>K89</f>
        <v>0.14000000000000001</v>
      </c>
      <c r="Q6" s="4" t="s">
        <v>100</v>
      </c>
      <c r="R6" s="4">
        <f>L89</f>
        <v>6150.9</v>
      </c>
      <c r="S6" s="4" t="s">
        <v>100</v>
      </c>
      <c r="T6" s="4">
        <f>M89</f>
        <v>5443.2</v>
      </c>
      <c r="U6" s="4" t="s">
        <v>100</v>
      </c>
      <c r="V6" s="4">
        <f>N89</f>
        <v>5450.73</v>
      </c>
      <c r="W6" s="4" t="s">
        <v>100</v>
      </c>
      <c r="X6" s="4">
        <f>O89</f>
        <v>21.38</v>
      </c>
      <c r="Y6" s="4" t="s">
        <v>100</v>
      </c>
      <c r="Z6" s="4">
        <f>P89</f>
        <v>5445.3</v>
      </c>
      <c r="AA6" s="4" t="s">
        <v>100</v>
      </c>
      <c r="AB6" s="4">
        <f>Q89</f>
        <v>5443.2</v>
      </c>
      <c r="AC6" s="4" t="s">
        <v>100</v>
      </c>
      <c r="AD6" s="4">
        <f>R89</f>
        <v>5454.89</v>
      </c>
      <c r="AE6" s="4" t="s">
        <v>100</v>
      </c>
      <c r="AF6" s="4">
        <f>S89</f>
        <v>60.11</v>
      </c>
      <c r="AG6" s="4" t="s">
        <v>100</v>
      </c>
      <c r="AH6" s="4">
        <f>T89</f>
        <v>5445.3</v>
      </c>
      <c r="AI6" s="6" t="s">
        <v>102</v>
      </c>
      <c r="AO6" s="4" t="s">
        <v>3</v>
      </c>
      <c r="AW6" s="4" t="s">
        <v>97</v>
      </c>
    </row>
    <row r="7" spans="1:56">
      <c r="A7" s="4">
        <f t="shared" ref="A7:A70" si="0">MIN(D7,L7,T7,AB7)</f>
        <v>7533.59</v>
      </c>
      <c r="B7" s="4" t="s">
        <v>8</v>
      </c>
      <c r="C7" s="4" t="s">
        <v>100</v>
      </c>
      <c r="D7" s="4">
        <f t="shared" ref="D7:D70" si="1">D90</f>
        <v>7533.59</v>
      </c>
      <c r="E7" s="4" t="s">
        <v>100</v>
      </c>
      <c r="F7" s="4">
        <f t="shared" ref="F7:F70" si="2">E90</f>
        <v>7533.59</v>
      </c>
      <c r="G7" s="4" t="s">
        <v>100</v>
      </c>
      <c r="H7" s="4">
        <f t="shared" ref="H7:H29" si="3">F90</f>
        <v>2.09</v>
      </c>
      <c r="I7" s="4" t="s">
        <v>100</v>
      </c>
      <c r="J7" s="4">
        <f t="shared" ref="J7:J29" si="4">G90</f>
        <v>7528.4</v>
      </c>
      <c r="K7" s="4" t="s">
        <v>100</v>
      </c>
      <c r="L7" s="4">
        <f t="shared" ref="L7:L29" si="5">I90</f>
        <v>7744.4</v>
      </c>
      <c r="M7" s="4" t="s">
        <v>100</v>
      </c>
      <c r="N7" s="4">
        <f t="shared" ref="N7:N29" si="6">J90</f>
        <v>7744.35</v>
      </c>
      <c r="O7" s="4" t="s">
        <v>100</v>
      </c>
      <c r="P7" s="4">
        <f t="shared" ref="P7:P29" si="7">K90</f>
        <v>6.08</v>
      </c>
      <c r="Q7" s="4" t="s">
        <v>100</v>
      </c>
      <c r="R7" s="4">
        <f t="shared" ref="R7:R29" si="8">L90</f>
        <v>7725.7</v>
      </c>
      <c r="S7" s="4" t="s">
        <v>100</v>
      </c>
      <c r="T7" s="4">
        <f t="shared" ref="T7:T29" si="9">M90</f>
        <v>7533.6</v>
      </c>
      <c r="U7" s="4" t="s">
        <v>100</v>
      </c>
      <c r="V7" s="4">
        <f t="shared" ref="V7:V29" si="10">N90</f>
        <v>7533.63</v>
      </c>
      <c r="W7" s="4" t="s">
        <v>100</v>
      </c>
      <c r="X7" s="4">
        <f t="shared" ref="X7:X29" si="11">O90</f>
        <v>6.21</v>
      </c>
      <c r="Y7" s="4" t="s">
        <v>100</v>
      </c>
      <c r="Z7" s="4">
        <f t="shared" ref="Z7:Z29" si="12">P90</f>
        <v>7528.4</v>
      </c>
      <c r="AA7" s="4" t="s">
        <v>100</v>
      </c>
      <c r="AB7" s="4">
        <f t="shared" ref="AB7:AB29" si="13">Q90</f>
        <v>7533.6</v>
      </c>
      <c r="AC7" s="4" t="s">
        <v>100</v>
      </c>
      <c r="AD7" s="4">
        <f t="shared" ref="AD7:AD29" si="14">R90</f>
        <v>7533.63</v>
      </c>
      <c r="AE7" s="4" t="s">
        <v>100</v>
      </c>
      <c r="AF7" s="4">
        <f t="shared" ref="AF7:AF29" si="15">S90</f>
        <v>11.06</v>
      </c>
      <c r="AG7" s="4" t="s">
        <v>100</v>
      </c>
      <c r="AH7" s="4">
        <f t="shared" ref="AH7:AH29" si="16">T90</f>
        <v>7528.4</v>
      </c>
      <c r="AI7" s="6" t="s">
        <v>102</v>
      </c>
      <c r="AO7" s="4" t="s">
        <v>93</v>
      </c>
      <c r="AQ7" s="4" t="s">
        <v>94</v>
      </c>
      <c r="AS7" s="4" t="s">
        <v>98</v>
      </c>
      <c r="AU7" s="4" t="s">
        <v>99</v>
      </c>
      <c r="AV7" s="4" t="s">
        <v>100</v>
      </c>
      <c r="AW7" s="4" t="s">
        <v>93</v>
      </c>
      <c r="AY7" s="4" t="s">
        <v>94</v>
      </c>
      <c r="BA7" s="4" t="s">
        <v>98</v>
      </c>
      <c r="BC7" s="4" t="s">
        <v>99</v>
      </c>
    </row>
    <row r="8" spans="1:56">
      <c r="A8" s="4">
        <f t="shared" si="0"/>
        <v>10019</v>
      </c>
      <c r="B8" s="4" t="s">
        <v>9</v>
      </c>
      <c r="C8" s="4" t="s">
        <v>100</v>
      </c>
      <c r="D8" s="4">
        <f t="shared" si="1"/>
        <v>10019</v>
      </c>
      <c r="E8" s="4" t="s">
        <v>100</v>
      </c>
      <c r="F8" s="4">
        <f t="shared" si="2"/>
        <v>10019</v>
      </c>
      <c r="G8" s="4" t="s">
        <v>100</v>
      </c>
      <c r="H8" s="4">
        <f t="shared" si="3"/>
        <v>14.54</v>
      </c>
      <c r="I8" s="4" t="s">
        <v>100</v>
      </c>
      <c r="J8" s="4">
        <f t="shared" si="4"/>
        <v>10019</v>
      </c>
      <c r="K8" s="4" t="s">
        <v>100</v>
      </c>
      <c r="L8" s="4">
        <f t="shared" si="5"/>
        <v>10027.9</v>
      </c>
      <c r="M8" s="4" t="s">
        <v>100</v>
      </c>
      <c r="N8" s="4">
        <f t="shared" si="6"/>
        <v>10027.93</v>
      </c>
      <c r="O8" s="4" t="s">
        <v>100</v>
      </c>
      <c r="P8" s="4">
        <f t="shared" si="7"/>
        <v>103.25</v>
      </c>
      <c r="Q8" s="4" t="s">
        <v>100</v>
      </c>
      <c r="R8" s="4">
        <f t="shared" si="8"/>
        <v>10027.9</v>
      </c>
      <c r="S8" s="4" t="s">
        <v>100</v>
      </c>
      <c r="T8" s="4">
        <f t="shared" si="9"/>
        <v>10023.1</v>
      </c>
      <c r="U8" s="4" t="s">
        <v>100</v>
      </c>
      <c r="V8" s="4">
        <f t="shared" si="10"/>
        <v>10023.540000000001</v>
      </c>
      <c r="W8" s="4" t="s">
        <v>100</v>
      </c>
      <c r="X8" s="4">
        <f t="shared" si="11"/>
        <v>4.37</v>
      </c>
      <c r="Y8" s="4" t="s">
        <v>100</v>
      </c>
      <c r="Z8" s="4">
        <f t="shared" si="12"/>
        <v>10020.9</v>
      </c>
      <c r="AA8" s="4" t="s">
        <v>100</v>
      </c>
      <c r="AB8" s="4">
        <f t="shared" si="13"/>
        <v>10023.1</v>
      </c>
      <c r="AC8" s="4" t="s">
        <v>100</v>
      </c>
      <c r="AD8" s="4">
        <f t="shared" si="14"/>
        <v>10024.4</v>
      </c>
      <c r="AE8" s="4" t="s">
        <v>100</v>
      </c>
      <c r="AF8" s="4">
        <f t="shared" si="15"/>
        <v>11.01</v>
      </c>
      <c r="AG8" s="4" t="s">
        <v>100</v>
      </c>
      <c r="AH8" s="4">
        <f t="shared" si="16"/>
        <v>10020.9</v>
      </c>
      <c r="AI8" s="6" t="s">
        <v>102</v>
      </c>
      <c r="AK8" s="4" t="s">
        <v>107</v>
      </c>
      <c r="AL8" s="4" t="s">
        <v>100</v>
      </c>
      <c r="AM8" s="4" t="s">
        <v>108</v>
      </c>
      <c r="AN8" s="4" t="s">
        <v>100</v>
      </c>
      <c r="AO8" s="4">
        <f>SUMPRODUCT(--(D6:D29&lt;L6:L29))</f>
        <v>24</v>
      </c>
      <c r="AP8" s="4" t="s">
        <v>100</v>
      </c>
      <c r="AQ8" s="4">
        <f>SUMPRODUCT(--(D6:D29=L6:L29))</f>
        <v>0</v>
      </c>
      <c r="AR8" s="4" t="s">
        <v>100</v>
      </c>
      <c r="AS8" s="4">
        <f>SUMPRODUCT(--(D6:D29&gt;L6:L29))</f>
        <v>0</v>
      </c>
      <c r="AT8" s="4" t="s">
        <v>100</v>
      </c>
      <c r="AU8" s="12">
        <v>1.192093E-7</v>
      </c>
      <c r="AV8" s="4" t="s">
        <v>100</v>
      </c>
      <c r="AW8" s="4">
        <f>SUMPRODUCT(--(F6:F29&lt;N6:N29))</f>
        <v>24</v>
      </c>
      <c r="AX8" s="4" t="s">
        <v>100</v>
      </c>
      <c r="AY8" s="4">
        <f>SUMPRODUCT(--(F6:F29=N6:N29))</f>
        <v>0</v>
      </c>
      <c r="AZ8" s="4" t="s">
        <v>100</v>
      </c>
      <c r="BA8" s="4">
        <f>SUMPRODUCT(--(F6:F29&gt;N6:N29))</f>
        <v>0</v>
      </c>
      <c r="BB8" s="4" t="s">
        <v>100</v>
      </c>
      <c r="BC8" s="12">
        <v>1.192093E-7</v>
      </c>
      <c r="BD8" s="6" t="s">
        <v>102</v>
      </c>
    </row>
    <row r="9" spans="1:56">
      <c r="A9" s="4">
        <f t="shared" si="0"/>
        <v>13226.2</v>
      </c>
      <c r="B9" s="4" t="s">
        <v>10</v>
      </c>
      <c r="C9" s="4" t="s">
        <v>100</v>
      </c>
      <c r="D9" s="4">
        <f t="shared" si="1"/>
        <v>13226.2</v>
      </c>
      <c r="E9" s="4" t="s">
        <v>100</v>
      </c>
      <c r="F9" s="4">
        <f t="shared" si="2"/>
        <v>13226.2</v>
      </c>
      <c r="G9" s="4" t="s">
        <v>100</v>
      </c>
      <c r="H9" s="4">
        <f t="shared" si="3"/>
        <v>42.53</v>
      </c>
      <c r="I9" s="4" t="s">
        <v>100</v>
      </c>
      <c r="J9" s="4">
        <f t="shared" si="4"/>
        <v>13227.1</v>
      </c>
      <c r="K9" s="4" t="s">
        <v>100</v>
      </c>
      <c r="L9" s="4">
        <f t="shared" si="5"/>
        <v>13751.4</v>
      </c>
      <c r="M9" s="4" t="s">
        <v>100</v>
      </c>
      <c r="N9" s="4">
        <f t="shared" si="6"/>
        <v>13751.43</v>
      </c>
      <c r="O9" s="4" t="s">
        <v>100</v>
      </c>
      <c r="P9" s="4">
        <f t="shared" si="7"/>
        <v>14.3</v>
      </c>
      <c r="Q9" s="4" t="s">
        <v>100</v>
      </c>
      <c r="R9" s="4">
        <f t="shared" si="8"/>
        <v>13762</v>
      </c>
      <c r="S9" s="4" t="s">
        <v>100</v>
      </c>
      <c r="T9" s="4">
        <f t="shared" si="9"/>
        <v>13238.3</v>
      </c>
      <c r="U9" s="4" t="s">
        <v>100</v>
      </c>
      <c r="V9" s="4">
        <f t="shared" si="10"/>
        <v>13238.3</v>
      </c>
      <c r="W9" s="4" t="s">
        <v>100</v>
      </c>
      <c r="X9" s="4">
        <f t="shared" si="11"/>
        <v>37.409999999999997</v>
      </c>
      <c r="Y9" s="4" t="s">
        <v>100</v>
      </c>
      <c r="Z9" s="4">
        <f t="shared" si="12"/>
        <v>13238.1</v>
      </c>
      <c r="AA9" s="4" t="s">
        <v>100</v>
      </c>
      <c r="AB9" s="4">
        <f t="shared" si="13"/>
        <v>13238.3</v>
      </c>
      <c r="AC9" s="4" t="s">
        <v>100</v>
      </c>
      <c r="AD9" s="4">
        <f t="shared" si="14"/>
        <v>13238.3</v>
      </c>
      <c r="AE9" s="4" t="s">
        <v>100</v>
      </c>
      <c r="AF9" s="4">
        <f t="shared" si="15"/>
        <v>130.21</v>
      </c>
      <c r="AG9" s="4" t="s">
        <v>100</v>
      </c>
      <c r="AH9" s="4">
        <f t="shared" si="16"/>
        <v>13238.1</v>
      </c>
      <c r="AI9" s="6" t="s">
        <v>102</v>
      </c>
      <c r="AL9" s="4" t="s">
        <v>100</v>
      </c>
      <c r="AM9" s="4" t="s">
        <v>109</v>
      </c>
      <c r="AN9" s="4" t="s">
        <v>100</v>
      </c>
      <c r="AO9" s="4">
        <f>SUMPRODUCT(--(D6:D29&lt;T6:T29))</f>
        <v>23</v>
      </c>
      <c r="AP9" s="4" t="s">
        <v>100</v>
      </c>
      <c r="AQ9" s="4">
        <f>SUMPRODUCT(--(D6:D29=T6:T29))</f>
        <v>1</v>
      </c>
      <c r="AR9" s="4" t="s">
        <v>100</v>
      </c>
      <c r="AS9" s="4">
        <f>SUMPRODUCT(--(D6:D29&gt;T6:T29))</f>
        <v>0</v>
      </c>
      <c r="AT9" s="4" t="s">
        <v>100</v>
      </c>
      <c r="AU9" s="12">
        <v>2.3841859999999999E-7</v>
      </c>
      <c r="AV9" s="4" t="s">
        <v>100</v>
      </c>
      <c r="AW9" s="4">
        <f>SUMPRODUCT(--(F6:F29&lt;V6:V29))</f>
        <v>23</v>
      </c>
      <c r="AX9" s="4" t="s">
        <v>100</v>
      </c>
      <c r="AY9" s="4">
        <f>SUMPRODUCT(--(F6:F29=V6:V29))</f>
        <v>1</v>
      </c>
      <c r="AZ9" s="4" t="s">
        <v>100</v>
      </c>
      <c r="BA9" s="4">
        <f>SUMPRODUCT(--(F6:F29&gt;V6:V29))</f>
        <v>0</v>
      </c>
      <c r="BB9" s="4" t="s">
        <v>100</v>
      </c>
      <c r="BC9" s="12">
        <v>1.192093E-7</v>
      </c>
      <c r="BD9" s="6" t="s">
        <v>102</v>
      </c>
    </row>
    <row r="10" spans="1:56">
      <c r="A10" s="4">
        <f t="shared" si="0"/>
        <v>17695</v>
      </c>
      <c r="B10" s="4" t="s">
        <v>11</v>
      </c>
      <c r="C10" s="4" t="s">
        <v>100</v>
      </c>
      <c r="D10" s="4">
        <f t="shared" si="1"/>
        <v>17695</v>
      </c>
      <c r="E10" s="4" t="s">
        <v>100</v>
      </c>
      <c r="F10" s="4">
        <f t="shared" si="2"/>
        <v>17695</v>
      </c>
      <c r="G10" s="4" t="s">
        <v>100</v>
      </c>
      <c r="H10" s="4">
        <f t="shared" si="3"/>
        <v>128.78</v>
      </c>
      <c r="I10" s="4" t="s">
        <v>100</v>
      </c>
      <c r="J10" s="4">
        <f t="shared" si="4"/>
        <v>17695</v>
      </c>
      <c r="K10" s="4" t="s">
        <v>100</v>
      </c>
      <c r="L10" s="4">
        <f t="shared" si="5"/>
        <v>18191.5</v>
      </c>
      <c r="M10" s="4" t="s">
        <v>100</v>
      </c>
      <c r="N10" s="4">
        <f t="shared" si="6"/>
        <v>18219.96</v>
      </c>
      <c r="O10" s="4" t="s">
        <v>100</v>
      </c>
      <c r="P10" s="4">
        <f t="shared" si="7"/>
        <v>178.79</v>
      </c>
      <c r="Q10" s="4" t="s">
        <v>100</v>
      </c>
      <c r="R10" s="4">
        <f t="shared" si="8"/>
        <v>18191.400000000001</v>
      </c>
      <c r="S10" s="4" t="s">
        <v>100</v>
      </c>
      <c r="T10" s="4">
        <f t="shared" si="9"/>
        <v>17695</v>
      </c>
      <c r="U10" s="4" t="s">
        <v>100</v>
      </c>
      <c r="V10" s="4">
        <f t="shared" si="10"/>
        <v>17695</v>
      </c>
      <c r="W10" s="4" t="s">
        <v>100</v>
      </c>
      <c r="X10" s="4">
        <f t="shared" si="11"/>
        <v>88.32</v>
      </c>
      <c r="Y10" s="4" t="s">
        <v>100</v>
      </c>
      <c r="Z10" s="4">
        <f t="shared" si="12"/>
        <v>17695</v>
      </c>
      <c r="AA10" s="4" t="s">
        <v>100</v>
      </c>
      <c r="AB10" s="4">
        <f t="shared" si="13"/>
        <v>17695</v>
      </c>
      <c r="AC10" s="4" t="s">
        <v>100</v>
      </c>
      <c r="AD10" s="4">
        <f t="shared" si="14"/>
        <v>17695</v>
      </c>
      <c r="AE10" s="4" t="s">
        <v>100</v>
      </c>
      <c r="AF10" s="4">
        <f t="shared" si="15"/>
        <v>296.08</v>
      </c>
      <c r="AG10" s="4" t="s">
        <v>100</v>
      </c>
      <c r="AH10" s="4">
        <f t="shared" si="16"/>
        <v>17695</v>
      </c>
      <c r="AI10" s="6" t="s">
        <v>102</v>
      </c>
      <c r="AL10" s="4" t="s">
        <v>100</v>
      </c>
      <c r="AM10" s="4" t="s">
        <v>110</v>
      </c>
      <c r="AN10" s="4" t="s">
        <v>100</v>
      </c>
      <c r="AO10" s="4">
        <f>SUMPRODUCT(--(D6:D29&lt;AB6:AB29))</f>
        <v>23</v>
      </c>
      <c r="AP10" s="4" t="s">
        <v>100</v>
      </c>
      <c r="AQ10" s="4">
        <f>SUMPRODUCT(--(D6:D29=AB6:AB29))</f>
        <v>1</v>
      </c>
      <c r="AR10" s="4" t="s">
        <v>100</v>
      </c>
      <c r="AS10" s="4">
        <f>SUMPRODUCT(--(D6:D29&gt;AB6:AB29))</f>
        <v>0</v>
      </c>
      <c r="AT10" s="4" t="s">
        <v>100</v>
      </c>
      <c r="AU10" s="12">
        <v>2.3841859999999999E-7</v>
      </c>
      <c r="AV10" s="4" t="s">
        <v>100</v>
      </c>
      <c r="AW10" s="4">
        <f>SUMPRODUCT(--(F6:F29&lt;AD6:AD29))</f>
        <v>23</v>
      </c>
      <c r="AX10" s="4" t="s">
        <v>100</v>
      </c>
      <c r="AY10" s="4">
        <f>SUMPRODUCT(--(F6:F29=AD6:AD29))</f>
        <v>1</v>
      </c>
      <c r="AZ10" s="4" t="s">
        <v>100</v>
      </c>
      <c r="BA10" s="4">
        <f>SUMPRODUCT(--(F6:F29&gt;AD6:AD29))</f>
        <v>0</v>
      </c>
      <c r="BB10" s="4" t="s">
        <v>100</v>
      </c>
      <c r="BC10" s="12">
        <v>2.3841859999999999E-7</v>
      </c>
      <c r="BD10" s="6" t="s">
        <v>102</v>
      </c>
    </row>
    <row r="11" spans="1:56">
      <c r="A11" s="4">
        <f t="shared" si="0"/>
        <v>17805.75</v>
      </c>
      <c r="B11" s="4" t="s">
        <v>12</v>
      </c>
      <c r="C11" s="4" t="s">
        <v>100</v>
      </c>
      <c r="D11" s="4">
        <f t="shared" si="1"/>
        <v>17805.75</v>
      </c>
      <c r="E11" s="4" t="s">
        <v>100</v>
      </c>
      <c r="F11" s="4">
        <f t="shared" si="2"/>
        <v>17805.75</v>
      </c>
      <c r="G11" s="4" t="s">
        <v>100</v>
      </c>
      <c r="H11" s="4">
        <f t="shared" si="3"/>
        <v>176.61</v>
      </c>
      <c r="I11" s="4" t="s">
        <v>100</v>
      </c>
      <c r="J11" s="4">
        <f t="shared" si="4"/>
        <v>17794.8</v>
      </c>
      <c r="K11" s="4" t="s">
        <v>100</v>
      </c>
      <c r="L11" s="4">
        <f t="shared" si="5"/>
        <v>18087.5</v>
      </c>
      <c r="M11" s="4" t="s">
        <v>100</v>
      </c>
      <c r="N11" s="4">
        <f t="shared" si="6"/>
        <v>18092.650000000001</v>
      </c>
      <c r="O11" s="4" t="s">
        <v>100</v>
      </c>
      <c r="P11" s="4">
        <f t="shared" si="7"/>
        <v>614.66</v>
      </c>
      <c r="Q11" s="4" t="s">
        <v>100</v>
      </c>
      <c r="R11" s="4">
        <f t="shared" si="8"/>
        <v>18075.3</v>
      </c>
      <c r="S11" s="4" t="s">
        <v>100</v>
      </c>
      <c r="T11" s="4">
        <f t="shared" si="9"/>
        <v>17805.8</v>
      </c>
      <c r="U11" s="4" t="s">
        <v>100</v>
      </c>
      <c r="V11" s="4">
        <f t="shared" si="10"/>
        <v>17805.810000000001</v>
      </c>
      <c r="W11" s="4" t="s">
        <v>100</v>
      </c>
      <c r="X11" s="4">
        <f t="shared" si="11"/>
        <v>506.49</v>
      </c>
      <c r="Y11" s="4" t="s">
        <v>100</v>
      </c>
      <c r="Z11" s="4">
        <f t="shared" si="12"/>
        <v>17794.8</v>
      </c>
      <c r="AA11" s="4" t="s">
        <v>100</v>
      </c>
      <c r="AB11" s="4">
        <f t="shared" si="13"/>
        <v>17805.8</v>
      </c>
      <c r="AC11" s="4" t="s">
        <v>100</v>
      </c>
      <c r="AD11" s="4">
        <f t="shared" si="14"/>
        <v>17806.060000000001</v>
      </c>
      <c r="AE11" s="4" t="s">
        <v>100</v>
      </c>
      <c r="AF11" s="4">
        <f t="shared" si="15"/>
        <v>519.94000000000005</v>
      </c>
      <c r="AG11" s="4" t="s">
        <v>100</v>
      </c>
      <c r="AH11" s="4">
        <f t="shared" si="16"/>
        <v>17794.8</v>
      </c>
      <c r="AI11" s="6" t="s">
        <v>102</v>
      </c>
      <c r="AL11" s="4" t="s">
        <v>100</v>
      </c>
      <c r="AM11" s="4" t="s">
        <v>111</v>
      </c>
      <c r="AN11" s="4" t="s">
        <v>100</v>
      </c>
      <c r="AO11" s="4">
        <v>23</v>
      </c>
      <c r="AP11" s="4" t="s">
        <v>100</v>
      </c>
      <c r="AQ11" s="4">
        <v>1</v>
      </c>
      <c r="AR11" s="4" t="s">
        <v>100</v>
      </c>
      <c r="AS11" s="4">
        <v>0</v>
      </c>
      <c r="AT11" s="4" t="s">
        <v>100</v>
      </c>
      <c r="AU11" s="4" t="s">
        <v>112</v>
      </c>
      <c r="AV11" s="4" t="s">
        <v>100</v>
      </c>
      <c r="AW11" s="4">
        <v>23</v>
      </c>
      <c r="AX11" s="4" t="s">
        <v>100</v>
      </c>
      <c r="AY11" s="4">
        <v>1</v>
      </c>
      <c r="AZ11" s="4" t="s">
        <v>100</v>
      </c>
      <c r="BA11" s="4">
        <v>0</v>
      </c>
      <c r="BB11" s="4" t="s">
        <v>100</v>
      </c>
      <c r="BC11" s="4" t="s">
        <v>112</v>
      </c>
      <c r="BD11" s="6" t="s">
        <v>102</v>
      </c>
    </row>
    <row r="12" spans="1:56">
      <c r="A12" s="4">
        <f t="shared" si="0"/>
        <v>70463.509999999995</v>
      </c>
      <c r="B12" s="4" t="s">
        <v>13</v>
      </c>
      <c r="C12" s="4" t="s">
        <v>100</v>
      </c>
      <c r="D12" s="4">
        <f t="shared" si="1"/>
        <v>70463.509999999995</v>
      </c>
      <c r="E12" s="4" t="s">
        <v>100</v>
      </c>
      <c r="F12" s="4">
        <f t="shared" si="2"/>
        <v>70464.31</v>
      </c>
      <c r="G12" s="4" t="s">
        <v>100</v>
      </c>
      <c r="H12" s="4">
        <f t="shared" si="3"/>
        <v>968.3</v>
      </c>
      <c r="I12" s="4" t="s">
        <v>100</v>
      </c>
      <c r="J12" s="4">
        <f t="shared" si="4"/>
        <v>70465.899999999994</v>
      </c>
      <c r="K12" s="4" t="s">
        <v>100</v>
      </c>
      <c r="L12" s="4">
        <f t="shared" si="5"/>
        <v>70666.8</v>
      </c>
      <c r="M12" s="4" t="s">
        <v>100</v>
      </c>
      <c r="N12" s="4">
        <f t="shared" si="6"/>
        <v>70682.86</v>
      </c>
      <c r="O12" s="4" t="s">
        <v>100</v>
      </c>
      <c r="P12" s="4">
        <f t="shared" si="7"/>
        <v>713.61</v>
      </c>
      <c r="Q12" s="4" t="s">
        <v>100</v>
      </c>
      <c r="R12" s="4">
        <f t="shared" si="8"/>
        <v>70662.399999999994</v>
      </c>
      <c r="S12" s="4" t="s">
        <v>100</v>
      </c>
      <c r="T12" s="4">
        <f t="shared" si="9"/>
        <v>70469.8</v>
      </c>
      <c r="U12" s="4" t="s">
        <v>100</v>
      </c>
      <c r="V12" s="4">
        <f t="shared" si="10"/>
        <v>70472.259999999995</v>
      </c>
      <c r="W12" s="4" t="s">
        <v>100</v>
      </c>
      <c r="X12" s="4">
        <f t="shared" si="11"/>
        <v>464.07</v>
      </c>
      <c r="Y12" s="4" t="s">
        <v>100</v>
      </c>
      <c r="Z12" s="4">
        <f t="shared" si="12"/>
        <v>70471.3</v>
      </c>
      <c r="AA12" s="4" t="s">
        <v>100</v>
      </c>
      <c r="AB12" s="4">
        <f t="shared" si="13"/>
        <v>70469.8</v>
      </c>
      <c r="AC12" s="4" t="s">
        <v>100</v>
      </c>
      <c r="AD12" s="4">
        <f t="shared" si="14"/>
        <v>70472.320000000007</v>
      </c>
      <c r="AE12" s="4" t="s">
        <v>100</v>
      </c>
      <c r="AF12" s="4">
        <f t="shared" si="15"/>
        <v>752.57</v>
      </c>
      <c r="AG12" s="4" t="s">
        <v>100</v>
      </c>
      <c r="AH12" s="4">
        <f t="shared" si="16"/>
        <v>70471.3</v>
      </c>
      <c r="AI12" s="6" t="s">
        <v>102</v>
      </c>
      <c r="AK12" s="4" t="s">
        <v>113</v>
      </c>
      <c r="AU12" s="13"/>
      <c r="BC12" s="13"/>
      <c r="BD12" s="6"/>
    </row>
    <row r="13" spans="1:56">
      <c r="A13" s="4">
        <f t="shared" si="0"/>
        <v>35221.33</v>
      </c>
      <c r="B13" s="4" t="s">
        <v>14</v>
      </c>
      <c r="C13" s="4" t="s">
        <v>100</v>
      </c>
      <c r="D13" s="4">
        <f t="shared" si="1"/>
        <v>35221.33</v>
      </c>
      <c r="E13" s="4" t="s">
        <v>100</v>
      </c>
      <c r="F13" s="4">
        <f t="shared" si="2"/>
        <v>35222.379999999997</v>
      </c>
      <c r="G13" s="4" t="s">
        <v>100</v>
      </c>
      <c r="H13" s="4">
        <f t="shared" si="3"/>
        <v>1192.27</v>
      </c>
      <c r="I13" s="4" t="s">
        <v>100</v>
      </c>
      <c r="J13" s="4">
        <f t="shared" si="4"/>
        <v>35227.199999999997</v>
      </c>
      <c r="K13" s="4" t="s">
        <v>100</v>
      </c>
      <c r="L13" s="4">
        <f t="shared" si="5"/>
        <v>35920.199999999997</v>
      </c>
      <c r="M13" s="4" t="s">
        <v>100</v>
      </c>
      <c r="N13" s="4">
        <f t="shared" si="6"/>
        <v>36061.839999999997</v>
      </c>
      <c r="O13" s="4" t="s">
        <v>100</v>
      </c>
      <c r="P13" s="4">
        <f t="shared" si="7"/>
        <v>894.81</v>
      </c>
      <c r="Q13" s="4" t="s">
        <v>100</v>
      </c>
      <c r="R13" s="4">
        <f t="shared" si="8"/>
        <v>35925.5</v>
      </c>
      <c r="S13" s="4" t="s">
        <v>100</v>
      </c>
      <c r="T13" s="4">
        <f t="shared" si="9"/>
        <v>35223.1</v>
      </c>
      <c r="U13" s="4" t="s">
        <v>100</v>
      </c>
      <c r="V13" s="4">
        <f t="shared" si="10"/>
        <v>35227.199999999997</v>
      </c>
      <c r="W13" s="4" t="s">
        <v>100</v>
      </c>
      <c r="X13" s="4">
        <f t="shared" si="11"/>
        <v>927.08</v>
      </c>
      <c r="Y13" s="4" t="s">
        <v>100</v>
      </c>
      <c r="Z13" s="4">
        <f t="shared" si="12"/>
        <v>35231.300000000003</v>
      </c>
      <c r="AA13" s="4" t="s">
        <v>100</v>
      </c>
      <c r="AB13" s="4">
        <f t="shared" si="13"/>
        <v>35224.800000000003</v>
      </c>
      <c r="AC13" s="4" t="s">
        <v>100</v>
      </c>
      <c r="AD13" s="4">
        <f t="shared" si="14"/>
        <v>35232.449999999997</v>
      </c>
      <c r="AE13" s="4" t="s">
        <v>100</v>
      </c>
      <c r="AF13" s="4">
        <f t="shared" si="15"/>
        <v>1404.78</v>
      </c>
      <c r="AG13" s="4" t="s">
        <v>100</v>
      </c>
      <c r="AH13" s="4">
        <f t="shared" si="16"/>
        <v>35231.800000000003</v>
      </c>
      <c r="AI13" s="6" t="s">
        <v>102</v>
      </c>
      <c r="AK13" s="4" t="s">
        <v>114</v>
      </c>
      <c r="AL13" s="4" t="s">
        <v>100</v>
      </c>
      <c r="AM13" s="4" t="s">
        <v>108</v>
      </c>
      <c r="AN13" s="4" t="s">
        <v>100</v>
      </c>
      <c r="AO13" s="4" cm="1">
        <f t="array" ref="AO13">SUMPRODUCT(--(D31:D54&lt;L31:L54))</f>
        <v>24</v>
      </c>
      <c r="AP13" s="4" t="s">
        <v>100</v>
      </c>
      <c r="AQ13" s="4" cm="1">
        <f t="array" ref="AQ13">SUMPRODUCT(--(D31:D54=L31:L54))</f>
        <v>0</v>
      </c>
      <c r="AR13" s="4" t="s">
        <v>100</v>
      </c>
      <c r="AS13" s="4" cm="1">
        <f t="array" ref="AS13">SUMPRODUCT(--(D31:D54&gt;L31:L54))</f>
        <v>0</v>
      </c>
      <c r="AT13" s="4" t="s">
        <v>100</v>
      </c>
      <c r="AU13" s="12">
        <v>1.192093E-7</v>
      </c>
      <c r="AV13" s="4" t="s">
        <v>100</v>
      </c>
      <c r="AW13" s="4" cm="1">
        <f t="array" ref="AW13">SUMPRODUCT(--(F31:F54&lt;N31:N54))</f>
        <v>24</v>
      </c>
      <c r="AX13" s="4" t="s">
        <v>100</v>
      </c>
      <c r="AY13" s="4" cm="1">
        <f t="array" ref="AY13">SUMPRODUCT(--(F31:F54=N31:N54))</f>
        <v>0</v>
      </c>
      <c r="AZ13" s="4" t="s">
        <v>100</v>
      </c>
      <c r="BA13" s="4" cm="1">
        <f t="array" ref="BA13">SUMPRODUCT(--(F31:F54&gt;N31:N54))</f>
        <v>0</v>
      </c>
      <c r="BB13" s="4" t="s">
        <v>100</v>
      </c>
      <c r="BC13" s="12">
        <v>1.192093E-7</v>
      </c>
      <c r="BD13" s="6" t="s">
        <v>102</v>
      </c>
    </row>
    <row r="14" spans="1:56">
      <c r="A14" s="4">
        <f t="shared" si="0"/>
        <v>65003.48</v>
      </c>
      <c r="B14" s="4" t="s">
        <v>15</v>
      </c>
      <c r="C14" s="4" t="s">
        <v>100</v>
      </c>
      <c r="D14" s="4">
        <f t="shared" si="1"/>
        <v>65003.48</v>
      </c>
      <c r="E14" s="4" t="s">
        <v>100</v>
      </c>
      <c r="F14" s="4">
        <f t="shared" si="2"/>
        <v>65003.48</v>
      </c>
      <c r="G14" s="4" t="s">
        <v>100</v>
      </c>
      <c r="H14" s="4">
        <f t="shared" si="3"/>
        <v>304.02</v>
      </c>
      <c r="I14" s="4" t="s">
        <v>100</v>
      </c>
      <c r="J14" s="4">
        <f t="shared" si="4"/>
        <v>65050.5</v>
      </c>
      <c r="K14" s="4" t="s">
        <v>100</v>
      </c>
      <c r="L14" s="4">
        <f t="shared" si="5"/>
        <v>65435.9</v>
      </c>
      <c r="M14" s="4" t="s">
        <v>100</v>
      </c>
      <c r="N14" s="4">
        <f t="shared" si="6"/>
        <v>65436.55</v>
      </c>
      <c r="O14" s="4" t="s">
        <v>100</v>
      </c>
      <c r="P14" s="4">
        <f t="shared" si="7"/>
        <v>210.99</v>
      </c>
      <c r="Q14" s="4" t="s">
        <v>100</v>
      </c>
      <c r="R14" s="4">
        <f t="shared" si="8"/>
        <v>65433.4</v>
      </c>
      <c r="S14" s="4" t="s">
        <v>100</v>
      </c>
      <c r="T14" s="4">
        <f t="shared" si="9"/>
        <v>65004</v>
      </c>
      <c r="U14" s="4" t="s">
        <v>100</v>
      </c>
      <c r="V14" s="4">
        <f t="shared" si="10"/>
        <v>65013.7</v>
      </c>
      <c r="W14" s="4" t="s">
        <v>100</v>
      </c>
      <c r="X14" s="4">
        <f t="shared" si="11"/>
        <v>736.82</v>
      </c>
      <c r="Y14" s="4" t="s">
        <v>100</v>
      </c>
      <c r="Z14" s="4">
        <f t="shared" si="12"/>
        <v>65011.4</v>
      </c>
      <c r="AA14" s="4" t="s">
        <v>100</v>
      </c>
      <c r="AB14" s="4">
        <f t="shared" si="13"/>
        <v>65004</v>
      </c>
      <c r="AC14" s="4" t="s">
        <v>100</v>
      </c>
      <c r="AD14" s="4">
        <f t="shared" si="14"/>
        <v>65009.05</v>
      </c>
      <c r="AE14" s="4" t="s">
        <v>100</v>
      </c>
      <c r="AF14" s="4">
        <f t="shared" si="15"/>
        <v>803.23</v>
      </c>
      <c r="AG14" s="4" t="s">
        <v>100</v>
      </c>
      <c r="AH14" s="4">
        <f t="shared" si="16"/>
        <v>65011.4</v>
      </c>
      <c r="AI14" s="6" t="s">
        <v>102</v>
      </c>
      <c r="AL14" s="4" t="s">
        <v>100</v>
      </c>
      <c r="AM14" s="4" t="s">
        <v>109</v>
      </c>
      <c r="AN14" s="4" t="s">
        <v>100</v>
      </c>
      <c r="AO14" s="4" cm="1">
        <f t="array" ref="AO14">SUMPRODUCT(--(D31:D54&lt;T31:T54))</f>
        <v>24</v>
      </c>
      <c r="AP14" s="4" t="s">
        <v>100</v>
      </c>
      <c r="AQ14" s="4" cm="1">
        <f t="array" ref="AQ14">SUMPRODUCT(--(D31:D54=T31:T54))</f>
        <v>0</v>
      </c>
      <c r="AR14" s="4" t="s">
        <v>100</v>
      </c>
      <c r="AS14" s="4" cm="1">
        <f t="array" ref="AS14">SUMPRODUCT(--(D31:D54&gt;T31:T54))</f>
        <v>0</v>
      </c>
      <c r="AT14" s="4" t="s">
        <v>100</v>
      </c>
      <c r="AU14" s="12">
        <v>1.192093E-7</v>
      </c>
      <c r="AV14" s="4" t="s">
        <v>100</v>
      </c>
      <c r="AW14" s="4" cm="1">
        <f t="array" ref="AW14">SUMPRODUCT(--(F31:F54&lt;V31:V54))</f>
        <v>24</v>
      </c>
      <c r="AX14" s="4" t="s">
        <v>100</v>
      </c>
      <c r="AY14" s="4" cm="1">
        <f t="array" ref="AY14">SUMPRODUCT(--(F31:F54=V31:V54))</f>
        <v>0</v>
      </c>
      <c r="AZ14" s="4" t="s">
        <v>100</v>
      </c>
      <c r="BA14" s="4" cm="1">
        <f t="array" ref="BA14">SUMPRODUCT(--(F31:F54&gt;V31:V54))</f>
        <v>0</v>
      </c>
      <c r="BB14" s="4" t="s">
        <v>100</v>
      </c>
      <c r="BC14" s="12">
        <v>1.192093E-7</v>
      </c>
      <c r="BD14" s="6" t="s">
        <v>102</v>
      </c>
    </row>
    <row r="15" spans="1:56">
      <c r="A15" s="4">
        <f t="shared" si="0"/>
        <v>63293.84</v>
      </c>
      <c r="B15" s="4" t="s">
        <v>16</v>
      </c>
      <c r="C15" s="4" t="s">
        <v>100</v>
      </c>
      <c r="D15" s="4">
        <f t="shared" si="1"/>
        <v>63293.84</v>
      </c>
      <c r="E15" s="4" t="s">
        <v>100</v>
      </c>
      <c r="F15" s="4">
        <f t="shared" si="2"/>
        <v>63297.9</v>
      </c>
      <c r="G15" s="4" t="s">
        <v>100</v>
      </c>
      <c r="H15" s="4">
        <f t="shared" si="3"/>
        <v>829.87</v>
      </c>
      <c r="I15" s="4" t="s">
        <v>100</v>
      </c>
      <c r="J15" s="4">
        <f t="shared" si="4"/>
        <v>63297</v>
      </c>
      <c r="K15" s="4" t="s">
        <v>100</v>
      </c>
      <c r="L15" s="4">
        <f t="shared" si="5"/>
        <v>64528.800000000003</v>
      </c>
      <c r="M15" s="4" t="s">
        <v>100</v>
      </c>
      <c r="N15" s="4">
        <f t="shared" si="6"/>
        <v>64716.69</v>
      </c>
      <c r="O15" s="4" t="s">
        <v>100</v>
      </c>
      <c r="P15" s="4">
        <f t="shared" si="7"/>
        <v>1174.71</v>
      </c>
      <c r="Q15" s="4" t="s">
        <v>100</v>
      </c>
      <c r="R15" s="4">
        <f t="shared" si="8"/>
        <v>64533.1</v>
      </c>
      <c r="S15" s="4" t="s">
        <v>100</v>
      </c>
      <c r="T15" s="4">
        <f t="shared" si="9"/>
        <v>63297.1</v>
      </c>
      <c r="U15" s="4" t="s">
        <v>100</v>
      </c>
      <c r="V15" s="4">
        <f t="shared" si="10"/>
        <v>63311.6</v>
      </c>
      <c r="W15" s="4" t="s">
        <v>100</v>
      </c>
      <c r="X15" s="4">
        <f t="shared" si="11"/>
        <v>1350.66</v>
      </c>
      <c r="Y15" s="4" t="s">
        <v>100</v>
      </c>
      <c r="Z15" s="4">
        <f t="shared" si="12"/>
        <v>63301.5</v>
      </c>
      <c r="AA15" s="4" t="s">
        <v>100</v>
      </c>
      <c r="AB15" s="4">
        <f t="shared" si="13"/>
        <v>63299.6</v>
      </c>
      <c r="AC15" s="4" t="s">
        <v>100</v>
      </c>
      <c r="AD15" s="4">
        <f t="shared" si="14"/>
        <v>63332.74</v>
      </c>
      <c r="AE15" s="4" t="s">
        <v>100</v>
      </c>
      <c r="AF15" s="4">
        <f t="shared" si="15"/>
        <v>1234.24</v>
      </c>
      <c r="AG15" s="4" t="s">
        <v>100</v>
      </c>
      <c r="AH15" s="4">
        <f t="shared" si="16"/>
        <v>63303.6</v>
      </c>
      <c r="AI15" s="6" t="s">
        <v>102</v>
      </c>
      <c r="AL15" s="4" t="s">
        <v>100</v>
      </c>
      <c r="AM15" s="4" t="s">
        <v>110</v>
      </c>
      <c r="AN15" s="4" t="s">
        <v>100</v>
      </c>
      <c r="AO15" s="4" cm="1">
        <f t="array" ref="AO15">SUMPRODUCT(--(D31:D54&lt;AB31:AB54))</f>
        <v>24</v>
      </c>
      <c r="AP15" s="4" t="s">
        <v>100</v>
      </c>
      <c r="AQ15" s="4" cm="1">
        <f t="array" ref="AQ15">SUMPRODUCT(--(D31:D54=AB31:AB54))</f>
        <v>0</v>
      </c>
      <c r="AR15" s="4" t="s">
        <v>100</v>
      </c>
      <c r="AS15" s="4" cm="1">
        <f t="array" ref="AS15">SUMPRODUCT(--(D31:D54&gt;AB31:AB54))</f>
        <v>0</v>
      </c>
      <c r="AT15" s="4" t="s">
        <v>100</v>
      </c>
      <c r="AU15" s="12">
        <v>1.192093E-7</v>
      </c>
      <c r="AV15" s="4" t="s">
        <v>100</v>
      </c>
      <c r="AW15" s="4" cm="1">
        <f t="array" ref="AW15">SUMPRODUCT(--(F31:F54&lt;AD31:AD54))</f>
        <v>24</v>
      </c>
      <c r="AX15" s="4" t="s">
        <v>100</v>
      </c>
      <c r="AY15" s="4" cm="1">
        <f t="array" ref="AY15">SUMPRODUCT(--(F31:F54=AD31:AD54))</f>
        <v>0</v>
      </c>
      <c r="AZ15" s="4" t="s">
        <v>100</v>
      </c>
      <c r="BA15" s="4" cm="1">
        <f t="array" ref="BA15">SUMPRODUCT(--(F31:F54&gt;AD31:AD54))</f>
        <v>0</v>
      </c>
      <c r="BB15" s="4" t="s">
        <v>100</v>
      </c>
      <c r="BC15" s="12">
        <v>1.192093E-7</v>
      </c>
      <c r="BD15" s="6" t="s">
        <v>102</v>
      </c>
    </row>
    <row r="16" spans="1:56">
      <c r="A16" s="4">
        <f t="shared" si="0"/>
        <v>53201.45</v>
      </c>
      <c r="B16" s="4" t="s">
        <v>17</v>
      </c>
      <c r="C16" s="4" t="s">
        <v>100</v>
      </c>
      <c r="D16" s="4">
        <f t="shared" si="1"/>
        <v>53201.45</v>
      </c>
      <c r="E16" s="4" t="s">
        <v>100</v>
      </c>
      <c r="F16" s="4">
        <f t="shared" si="2"/>
        <v>53207.38</v>
      </c>
      <c r="G16" s="4" t="s">
        <v>100</v>
      </c>
      <c r="H16" s="4">
        <f t="shared" si="3"/>
        <v>1145.47</v>
      </c>
      <c r="I16" s="4" t="s">
        <v>100</v>
      </c>
      <c r="J16" s="4">
        <f t="shared" si="4"/>
        <v>53200.2</v>
      </c>
      <c r="K16" s="4" t="s">
        <v>100</v>
      </c>
      <c r="L16" s="4">
        <f t="shared" si="5"/>
        <v>54360.9</v>
      </c>
      <c r="M16" s="4" t="s">
        <v>100</v>
      </c>
      <c r="N16" s="4">
        <f t="shared" si="6"/>
        <v>54472.18</v>
      </c>
      <c r="O16" s="4" t="s">
        <v>100</v>
      </c>
      <c r="P16" s="4">
        <f t="shared" si="7"/>
        <v>1048.7</v>
      </c>
      <c r="Q16" s="4" t="s">
        <v>100</v>
      </c>
      <c r="R16" s="4">
        <f t="shared" si="8"/>
        <v>54366.7</v>
      </c>
      <c r="S16" s="4" t="s">
        <v>100</v>
      </c>
      <c r="T16" s="4">
        <f t="shared" si="9"/>
        <v>53217.4</v>
      </c>
      <c r="U16" s="4" t="s">
        <v>100</v>
      </c>
      <c r="V16" s="4">
        <f t="shared" si="10"/>
        <v>53231.42</v>
      </c>
      <c r="W16" s="4" t="s">
        <v>100</v>
      </c>
      <c r="X16" s="4">
        <f t="shared" si="11"/>
        <v>1539.94</v>
      </c>
      <c r="Y16" s="4" t="s">
        <v>100</v>
      </c>
      <c r="Z16" s="4">
        <f t="shared" si="12"/>
        <v>53226.5</v>
      </c>
      <c r="AA16" s="4" t="s">
        <v>100</v>
      </c>
      <c r="AB16" s="4">
        <f t="shared" si="13"/>
        <v>53231.3</v>
      </c>
      <c r="AC16" s="4" t="s">
        <v>100</v>
      </c>
      <c r="AD16" s="4">
        <f t="shared" si="14"/>
        <v>53250.43</v>
      </c>
      <c r="AE16" s="4" t="s">
        <v>100</v>
      </c>
      <c r="AF16" s="4">
        <f t="shared" si="15"/>
        <v>1518.5</v>
      </c>
      <c r="AG16" s="4" t="s">
        <v>100</v>
      </c>
      <c r="AH16" s="4">
        <f t="shared" si="16"/>
        <v>53237.4</v>
      </c>
      <c r="AI16" s="6" t="s">
        <v>102</v>
      </c>
      <c r="AL16" s="4" t="s">
        <v>100</v>
      </c>
      <c r="AM16" s="4" t="s">
        <v>111</v>
      </c>
      <c r="AN16" s="4" t="s">
        <v>100</v>
      </c>
      <c r="AO16" s="4">
        <v>24</v>
      </c>
      <c r="AP16" s="4" t="s">
        <v>100</v>
      </c>
      <c r="AQ16" s="4">
        <v>0</v>
      </c>
      <c r="AR16" s="4" t="s">
        <v>100</v>
      </c>
      <c r="AS16" s="4">
        <v>0</v>
      </c>
      <c r="AT16" s="4" t="s">
        <v>100</v>
      </c>
      <c r="AU16" s="4" t="s">
        <v>112</v>
      </c>
      <c r="AV16" s="4" t="s">
        <v>100</v>
      </c>
      <c r="AW16" s="4">
        <v>24</v>
      </c>
      <c r="AX16" s="4" t="s">
        <v>100</v>
      </c>
      <c r="AY16" s="4">
        <v>0</v>
      </c>
      <c r="AZ16" s="4" t="s">
        <v>100</v>
      </c>
      <c r="BA16" s="4">
        <v>0</v>
      </c>
      <c r="BB16" s="4" t="s">
        <v>100</v>
      </c>
      <c r="BC16" s="4" t="s">
        <v>112</v>
      </c>
      <c r="BD16" s="6" t="s">
        <v>102</v>
      </c>
    </row>
    <row r="17" spans="1:56">
      <c r="A17" s="4">
        <f t="shared" si="0"/>
        <v>61352.43</v>
      </c>
      <c r="B17" s="4" t="s">
        <v>18</v>
      </c>
      <c r="C17" s="4" t="s">
        <v>100</v>
      </c>
      <c r="D17" s="4">
        <f t="shared" si="1"/>
        <v>61352.43</v>
      </c>
      <c r="E17" s="4" t="s">
        <v>100</v>
      </c>
      <c r="F17" s="4">
        <f t="shared" si="2"/>
        <v>61359.5</v>
      </c>
      <c r="G17" s="4" t="s">
        <v>100</v>
      </c>
      <c r="H17" s="4">
        <f t="shared" si="3"/>
        <v>1062.79</v>
      </c>
      <c r="I17" s="4" t="s">
        <v>100</v>
      </c>
      <c r="J17" s="4">
        <f t="shared" si="4"/>
        <v>61362.3</v>
      </c>
      <c r="K17" s="4" t="s">
        <v>100</v>
      </c>
      <c r="L17" s="4">
        <f t="shared" si="5"/>
        <v>62634.9</v>
      </c>
      <c r="M17" s="4" t="s">
        <v>100</v>
      </c>
      <c r="N17" s="4">
        <f t="shared" si="6"/>
        <v>62919.44</v>
      </c>
      <c r="O17" s="4" t="s">
        <v>100</v>
      </c>
      <c r="P17" s="4">
        <f t="shared" si="7"/>
        <v>1021.26</v>
      </c>
      <c r="Q17" s="4" t="s">
        <v>100</v>
      </c>
      <c r="R17" s="4">
        <f t="shared" si="8"/>
        <v>62670.2</v>
      </c>
      <c r="S17" s="4" t="s">
        <v>100</v>
      </c>
      <c r="T17" s="4">
        <f t="shared" si="9"/>
        <v>61382.6</v>
      </c>
      <c r="U17" s="4" t="s">
        <v>100</v>
      </c>
      <c r="V17" s="4">
        <f t="shared" si="10"/>
        <v>61638.83</v>
      </c>
      <c r="W17" s="4" t="s">
        <v>100</v>
      </c>
      <c r="X17" s="4">
        <f t="shared" si="11"/>
        <v>1489.04</v>
      </c>
      <c r="Y17" s="4" t="s">
        <v>100</v>
      </c>
      <c r="Z17" s="4">
        <f t="shared" si="12"/>
        <v>61390.9</v>
      </c>
      <c r="AA17" s="4" t="s">
        <v>100</v>
      </c>
      <c r="AB17" s="4">
        <f t="shared" si="13"/>
        <v>61410.1</v>
      </c>
      <c r="AC17" s="4" t="s">
        <v>100</v>
      </c>
      <c r="AD17" s="4">
        <f t="shared" si="14"/>
        <v>61664.57</v>
      </c>
      <c r="AE17" s="4" t="s">
        <v>100</v>
      </c>
      <c r="AF17" s="4">
        <f t="shared" si="15"/>
        <v>1575.11</v>
      </c>
      <c r="AG17" s="4" t="s">
        <v>100</v>
      </c>
      <c r="AH17" s="4">
        <f t="shared" si="16"/>
        <v>61428.1</v>
      </c>
      <c r="AI17" s="6" t="s">
        <v>102</v>
      </c>
      <c r="AK17" s="4" t="s">
        <v>113</v>
      </c>
      <c r="AU17" s="13"/>
      <c r="BC17" s="13"/>
      <c r="BD17" s="6"/>
    </row>
    <row r="18" spans="1:56">
      <c r="A18" s="4">
        <f t="shared" si="0"/>
        <v>88253.35</v>
      </c>
      <c r="B18" s="4" t="s">
        <v>19</v>
      </c>
      <c r="C18" s="4" t="s">
        <v>100</v>
      </c>
      <c r="D18" s="4">
        <f t="shared" si="1"/>
        <v>88253.35</v>
      </c>
      <c r="E18" s="4" t="s">
        <v>100</v>
      </c>
      <c r="F18" s="4">
        <f t="shared" si="2"/>
        <v>88419.96</v>
      </c>
      <c r="G18" s="4" t="s">
        <v>100</v>
      </c>
      <c r="H18" s="4">
        <f t="shared" si="3"/>
        <v>1475.47</v>
      </c>
      <c r="I18" s="4" t="s">
        <v>100</v>
      </c>
      <c r="J18" s="4">
        <f t="shared" si="4"/>
        <v>88276.9</v>
      </c>
      <c r="K18" s="4" t="s">
        <v>100</v>
      </c>
      <c r="L18" s="4">
        <f t="shared" si="5"/>
        <v>89484.800000000003</v>
      </c>
      <c r="M18" s="4" t="s">
        <v>100</v>
      </c>
      <c r="N18" s="4">
        <f t="shared" si="6"/>
        <v>89661.75</v>
      </c>
      <c r="O18" s="4" t="s">
        <v>100</v>
      </c>
      <c r="P18" s="4">
        <f t="shared" si="7"/>
        <v>1232</v>
      </c>
      <c r="Q18" s="4" t="s">
        <v>100</v>
      </c>
      <c r="R18" s="4">
        <f t="shared" si="8"/>
        <v>89494.399999999994</v>
      </c>
      <c r="S18" s="4" t="s">
        <v>100</v>
      </c>
      <c r="T18" s="4">
        <f t="shared" si="9"/>
        <v>88406.9</v>
      </c>
      <c r="U18" s="4" t="s">
        <v>100</v>
      </c>
      <c r="V18" s="4">
        <f t="shared" si="10"/>
        <v>88635.54</v>
      </c>
      <c r="W18" s="4" t="s">
        <v>100</v>
      </c>
      <c r="X18" s="4">
        <f t="shared" si="11"/>
        <v>1608.49</v>
      </c>
      <c r="Y18" s="4" t="s">
        <v>100</v>
      </c>
      <c r="Z18" s="4">
        <f t="shared" si="12"/>
        <v>88439.3</v>
      </c>
      <c r="AA18" s="4" t="s">
        <v>100</v>
      </c>
      <c r="AB18" s="4">
        <f t="shared" si="13"/>
        <v>88648.5</v>
      </c>
      <c r="AC18" s="4" t="s">
        <v>100</v>
      </c>
      <c r="AD18" s="4">
        <f t="shared" si="14"/>
        <v>88768.15</v>
      </c>
      <c r="AE18" s="4" t="s">
        <v>100</v>
      </c>
      <c r="AF18" s="4">
        <f t="shared" si="15"/>
        <v>1499.46</v>
      </c>
      <c r="AG18" s="4" t="s">
        <v>100</v>
      </c>
      <c r="AH18" s="4">
        <f t="shared" si="16"/>
        <v>88651.6</v>
      </c>
      <c r="AI18" s="6" t="s">
        <v>102</v>
      </c>
      <c r="AK18" s="4" t="s">
        <v>115</v>
      </c>
      <c r="AL18" s="4" t="s">
        <v>100</v>
      </c>
      <c r="AM18" s="4" t="s">
        <v>108</v>
      </c>
      <c r="AN18" s="4" t="s">
        <v>100</v>
      </c>
      <c r="AO18" s="4" cm="1">
        <f t="array" ref="AO18">SUMPRODUCT(--(D56:D79&lt;L56:L79))</f>
        <v>22</v>
      </c>
      <c r="AP18" s="4" t="s">
        <v>100</v>
      </c>
      <c r="AQ18" s="4" cm="1">
        <f t="array" ref="AQ18">SUMPRODUCT(--(D56:D79=L56:L79))</f>
        <v>0</v>
      </c>
      <c r="AR18" s="4" t="s">
        <v>100</v>
      </c>
      <c r="AS18" s="4" cm="1">
        <f t="array" ref="AS18">SUMPRODUCT(--(D56:D79&gt;L56:L79))</f>
        <v>2</v>
      </c>
      <c r="AT18" s="4" t="s">
        <v>100</v>
      </c>
      <c r="AU18" s="12">
        <v>2.9802319999999999E-6</v>
      </c>
      <c r="AV18" s="4" t="s">
        <v>100</v>
      </c>
      <c r="AW18" s="4" cm="1">
        <f t="array" ref="AW18">SUMPRODUCT(--(F56:F79&lt;N56:N79))</f>
        <v>23</v>
      </c>
      <c r="AX18" s="4" t="s">
        <v>100</v>
      </c>
      <c r="AY18" s="4" cm="1">
        <f t="array" ref="AY18">SUMPRODUCT(--(F56:F79=N56:N79))</f>
        <v>0</v>
      </c>
      <c r="AZ18" s="4" t="s">
        <v>100</v>
      </c>
      <c r="BA18" s="4" cm="1">
        <f t="array" ref="BA18">SUMPRODUCT(--(F56:F79&gt;N56:N79))</f>
        <v>1</v>
      </c>
      <c r="BB18" s="4" t="s">
        <v>100</v>
      </c>
      <c r="BC18" s="12">
        <v>5.9604639999999996E-7</v>
      </c>
      <c r="BD18" s="6" t="s">
        <v>102</v>
      </c>
    </row>
    <row r="19" spans="1:56">
      <c r="A19" s="4">
        <f t="shared" si="0"/>
        <v>83443.56</v>
      </c>
      <c r="B19" s="4" t="s">
        <v>20</v>
      </c>
      <c r="C19" s="4" t="s">
        <v>100</v>
      </c>
      <c r="D19" s="4">
        <f t="shared" si="1"/>
        <v>83443.56</v>
      </c>
      <c r="E19" s="4" t="s">
        <v>100</v>
      </c>
      <c r="F19" s="4">
        <f t="shared" si="2"/>
        <v>83487.839999999997</v>
      </c>
      <c r="G19" s="4" t="s">
        <v>100</v>
      </c>
      <c r="H19" s="4">
        <f t="shared" si="3"/>
        <v>1415.68</v>
      </c>
      <c r="I19" s="4" t="s">
        <v>100</v>
      </c>
      <c r="J19" s="4">
        <f t="shared" si="4"/>
        <v>83429.3</v>
      </c>
      <c r="K19" s="4" t="s">
        <v>100</v>
      </c>
      <c r="L19" s="4">
        <f t="shared" si="5"/>
        <v>84860.4</v>
      </c>
      <c r="M19" s="4" t="s">
        <v>100</v>
      </c>
      <c r="N19" s="4">
        <f t="shared" si="6"/>
        <v>84914.83</v>
      </c>
      <c r="O19" s="4" t="s">
        <v>100</v>
      </c>
      <c r="P19" s="4">
        <f t="shared" si="7"/>
        <v>1215.1600000000001</v>
      </c>
      <c r="Q19" s="4" t="s">
        <v>100</v>
      </c>
      <c r="R19" s="4">
        <f t="shared" si="8"/>
        <v>84844.7</v>
      </c>
      <c r="S19" s="4" t="s">
        <v>100</v>
      </c>
      <c r="T19" s="4">
        <f t="shared" si="9"/>
        <v>83640.7</v>
      </c>
      <c r="U19" s="4" t="s">
        <v>100</v>
      </c>
      <c r="V19" s="4">
        <f t="shared" si="10"/>
        <v>83728.679999999993</v>
      </c>
      <c r="W19" s="4" t="s">
        <v>100</v>
      </c>
      <c r="X19" s="4">
        <f t="shared" si="11"/>
        <v>1557.19</v>
      </c>
      <c r="Y19" s="4" t="s">
        <v>100</v>
      </c>
      <c r="Z19" s="4">
        <f t="shared" si="12"/>
        <v>83622.600000000006</v>
      </c>
      <c r="AA19" s="4" t="s">
        <v>100</v>
      </c>
      <c r="AB19" s="4">
        <f t="shared" si="13"/>
        <v>83738.100000000006</v>
      </c>
      <c r="AC19" s="4" t="s">
        <v>100</v>
      </c>
      <c r="AD19" s="4">
        <f t="shared" si="14"/>
        <v>83832.77</v>
      </c>
      <c r="AE19" s="4" t="s">
        <v>100</v>
      </c>
      <c r="AF19" s="4">
        <f t="shared" si="15"/>
        <v>1440.25</v>
      </c>
      <c r="AG19" s="4" t="s">
        <v>100</v>
      </c>
      <c r="AH19" s="4">
        <f t="shared" si="16"/>
        <v>83713.3</v>
      </c>
      <c r="AI19" s="6" t="s">
        <v>102</v>
      </c>
      <c r="AL19" s="4" t="s">
        <v>100</v>
      </c>
      <c r="AM19" s="4" t="s">
        <v>109</v>
      </c>
      <c r="AN19" s="4" t="s">
        <v>100</v>
      </c>
      <c r="AO19" s="4" cm="1">
        <f t="array" ref="AO19">SUMPRODUCT(--(D56:D79&lt;T56:T79))</f>
        <v>20</v>
      </c>
      <c r="AP19" s="4" t="s">
        <v>100</v>
      </c>
      <c r="AQ19" s="4" cm="1">
        <f t="array" ref="AQ19">SUMPRODUCT(--(D56:D79=T56:T79))</f>
        <v>1</v>
      </c>
      <c r="AR19" s="4" t="s">
        <v>100</v>
      </c>
      <c r="AS19" s="4" cm="1">
        <f t="array" ref="AS19">SUMPRODUCT(--(D56:D79&gt;T56:T79))</f>
        <v>3</v>
      </c>
      <c r="AT19" s="4" t="s">
        <v>100</v>
      </c>
      <c r="AU19" s="12">
        <v>3.0159949999999999E-5</v>
      </c>
      <c r="AV19" s="4" t="s">
        <v>100</v>
      </c>
      <c r="AW19" s="4" cm="1">
        <f t="array" ref="AW19">SUMPRODUCT(--(F56:F79&lt;V56:V79))</f>
        <v>23</v>
      </c>
      <c r="AX19" s="4" t="s">
        <v>100</v>
      </c>
      <c r="AY19" s="4" cm="1">
        <f t="array" ref="AY19">SUMPRODUCT(--(F56:F79=V56:V79))</f>
        <v>0</v>
      </c>
      <c r="AZ19" s="4" t="s">
        <v>100</v>
      </c>
      <c r="BA19" s="4" cm="1">
        <f t="array" ref="BA19">SUMPRODUCT(--(F56:F79&gt;V56:V79))</f>
        <v>1</v>
      </c>
      <c r="BB19" s="4" t="s">
        <v>100</v>
      </c>
      <c r="BC19" s="12">
        <v>5.9604639999999996E-7</v>
      </c>
      <c r="BD19" s="6" t="s">
        <v>102</v>
      </c>
    </row>
    <row r="20" spans="1:56">
      <c r="A20" s="4">
        <f t="shared" si="0"/>
        <v>107222.34</v>
      </c>
      <c r="B20" s="4" t="s">
        <v>21</v>
      </c>
      <c r="C20" s="4" t="s">
        <v>100</v>
      </c>
      <c r="D20" s="4">
        <f t="shared" si="1"/>
        <v>107222.34</v>
      </c>
      <c r="E20" s="4" t="s">
        <v>100</v>
      </c>
      <c r="F20" s="4">
        <f t="shared" si="2"/>
        <v>107306.55</v>
      </c>
      <c r="G20" s="4" t="s">
        <v>100</v>
      </c>
      <c r="H20" s="4">
        <f t="shared" si="3"/>
        <v>1623.5</v>
      </c>
      <c r="I20" s="4" t="s">
        <v>100</v>
      </c>
      <c r="J20" s="4">
        <f t="shared" si="4"/>
        <v>107293.3</v>
      </c>
      <c r="K20" s="4" t="s">
        <v>100</v>
      </c>
      <c r="L20" s="4">
        <f t="shared" si="5"/>
        <v>109285.7</v>
      </c>
      <c r="M20" s="4" t="s">
        <v>100</v>
      </c>
      <c r="N20" s="4">
        <f t="shared" si="6"/>
        <v>109760.73</v>
      </c>
      <c r="O20" s="4" t="s">
        <v>100</v>
      </c>
      <c r="P20" s="4">
        <f t="shared" si="7"/>
        <v>1641.64</v>
      </c>
      <c r="Q20" s="4" t="s">
        <v>100</v>
      </c>
      <c r="R20" s="4">
        <f t="shared" si="8"/>
        <v>109363.2</v>
      </c>
      <c r="S20" s="4" t="s">
        <v>100</v>
      </c>
      <c r="T20" s="4">
        <f t="shared" si="9"/>
        <v>107351.6</v>
      </c>
      <c r="U20" s="4" t="s">
        <v>100</v>
      </c>
      <c r="V20" s="4">
        <f t="shared" si="10"/>
        <v>107708.26</v>
      </c>
      <c r="W20" s="4" t="s">
        <v>100</v>
      </c>
      <c r="X20" s="4">
        <f t="shared" si="11"/>
        <v>1493.44</v>
      </c>
      <c r="Y20" s="4" t="s">
        <v>100</v>
      </c>
      <c r="Z20" s="4">
        <f t="shared" si="12"/>
        <v>107430.5</v>
      </c>
      <c r="AA20" s="4" t="s">
        <v>100</v>
      </c>
      <c r="AB20" s="4">
        <f t="shared" si="13"/>
        <v>107696</v>
      </c>
      <c r="AC20" s="4" t="s">
        <v>100</v>
      </c>
      <c r="AD20" s="4">
        <f t="shared" si="14"/>
        <v>107896.96000000001</v>
      </c>
      <c r="AE20" s="4" t="s">
        <v>100</v>
      </c>
      <c r="AF20" s="4">
        <f t="shared" si="15"/>
        <v>1289.25</v>
      </c>
      <c r="AG20" s="4" t="s">
        <v>100</v>
      </c>
      <c r="AH20" s="4">
        <f t="shared" si="16"/>
        <v>107776</v>
      </c>
      <c r="AI20" s="6" t="s">
        <v>102</v>
      </c>
      <c r="AL20" s="4" t="s">
        <v>100</v>
      </c>
      <c r="AM20" s="4" t="s">
        <v>110</v>
      </c>
      <c r="AN20" s="4" t="s">
        <v>100</v>
      </c>
      <c r="AO20" s="4" cm="1">
        <f t="array" ref="AO20">SUMPRODUCT(--(D56:D79&lt;AB56:AB79))</f>
        <v>21</v>
      </c>
      <c r="AP20" s="4" t="s">
        <v>100</v>
      </c>
      <c r="AQ20" s="4" cm="1">
        <f t="array" ref="AQ20">SUMPRODUCT(--(D56:D79=AB56:AB79))</f>
        <v>0</v>
      </c>
      <c r="AR20" s="4" t="s">
        <v>100</v>
      </c>
      <c r="AS20" s="4" cm="1">
        <f t="array" ref="AS20">SUMPRODUCT(--(D56:D79&gt;AB56:AB79))</f>
        <v>3</v>
      </c>
      <c r="AT20" s="4" t="s">
        <v>100</v>
      </c>
      <c r="AU20" s="12">
        <v>2.4676320000000001E-5</v>
      </c>
      <c r="AV20" s="4" t="s">
        <v>100</v>
      </c>
      <c r="AW20" s="4" cm="1">
        <f t="array" ref="AW20">SUMPRODUCT(--(F56:F79&lt;AD56:AD79))</f>
        <v>23</v>
      </c>
      <c r="AX20" s="4" t="s">
        <v>100</v>
      </c>
      <c r="AY20" s="4" cm="1">
        <f t="array" ref="AY20">SUMPRODUCT(--(F56:F79=AD56:AD79))</f>
        <v>0</v>
      </c>
      <c r="AZ20" s="4" t="s">
        <v>100</v>
      </c>
      <c r="BA20" s="4" cm="1">
        <f t="array" ref="BA20">SUMPRODUCT(--(F56:F79&gt;AD56:AD79))</f>
        <v>1</v>
      </c>
      <c r="BB20" s="4" t="s">
        <v>100</v>
      </c>
      <c r="BC20" s="12">
        <v>5.9604639999999996E-7</v>
      </c>
      <c r="BD20" s="6" t="s">
        <v>102</v>
      </c>
    </row>
    <row r="21" spans="1:56">
      <c r="A21" s="4">
        <f t="shared" si="0"/>
        <v>118623.58</v>
      </c>
      <c r="B21" s="4" t="s">
        <v>22</v>
      </c>
      <c r="C21" s="4" t="s">
        <v>100</v>
      </c>
      <c r="D21" s="4">
        <f t="shared" si="1"/>
        <v>118623.58</v>
      </c>
      <c r="E21" s="4" t="s">
        <v>100</v>
      </c>
      <c r="F21" s="4">
        <f t="shared" si="2"/>
        <v>118892.14</v>
      </c>
      <c r="G21" s="4" t="s">
        <v>100</v>
      </c>
      <c r="H21" s="4">
        <f t="shared" si="3"/>
        <v>1577.57</v>
      </c>
      <c r="I21" s="4" t="s">
        <v>100</v>
      </c>
      <c r="J21" s="4">
        <f t="shared" si="4"/>
        <v>118657</v>
      </c>
      <c r="K21" s="4" t="s">
        <v>100</v>
      </c>
      <c r="L21" s="4">
        <f t="shared" si="5"/>
        <v>120417.4</v>
      </c>
      <c r="M21" s="4" t="s">
        <v>100</v>
      </c>
      <c r="N21" s="4">
        <f t="shared" si="6"/>
        <v>120889.36</v>
      </c>
      <c r="O21" s="4" t="s">
        <v>100</v>
      </c>
      <c r="P21" s="4">
        <f t="shared" si="7"/>
        <v>1316.4</v>
      </c>
      <c r="Q21" s="4" t="s">
        <v>100</v>
      </c>
      <c r="R21" s="4">
        <f t="shared" si="8"/>
        <v>120436.7</v>
      </c>
      <c r="S21" s="4" t="s">
        <v>100</v>
      </c>
      <c r="T21" s="4">
        <f t="shared" si="9"/>
        <v>119144.1</v>
      </c>
      <c r="U21" s="4" t="s">
        <v>100</v>
      </c>
      <c r="V21" s="4">
        <f t="shared" si="10"/>
        <v>119248.44</v>
      </c>
      <c r="W21" s="4" t="s">
        <v>100</v>
      </c>
      <c r="X21" s="4">
        <f t="shared" si="11"/>
        <v>1449.91</v>
      </c>
      <c r="Y21" s="4" t="s">
        <v>100</v>
      </c>
      <c r="Z21" s="4">
        <f t="shared" si="12"/>
        <v>119161.4</v>
      </c>
      <c r="AA21" s="4" t="s">
        <v>100</v>
      </c>
      <c r="AB21" s="4">
        <f t="shared" si="13"/>
        <v>119199.8</v>
      </c>
      <c r="AC21" s="4" t="s">
        <v>100</v>
      </c>
      <c r="AD21" s="4">
        <f t="shared" si="14"/>
        <v>119429.96</v>
      </c>
      <c r="AE21" s="4" t="s">
        <v>100</v>
      </c>
      <c r="AF21" s="4">
        <f t="shared" si="15"/>
        <v>1417.97</v>
      </c>
      <c r="AG21" s="4" t="s">
        <v>100</v>
      </c>
      <c r="AH21" s="4">
        <f t="shared" si="16"/>
        <v>119203</v>
      </c>
      <c r="AI21" s="6" t="s">
        <v>102</v>
      </c>
      <c r="AL21" s="4" t="s">
        <v>100</v>
      </c>
      <c r="AM21" s="4" t="s">
        <v>111</v>
      </c>
      <c r="AN21" s="4" t="s">
        <v>100</v>
      </c>
      <c r="AO21" s="4">
        <v>19</v>
      </c>
      <c r="AP21" s="4" t="s">
        <v>100</v>
      </c>
      <c r="AQ21" s="4">
        <v>0</v>
      </c>
      <c r="AR21" s="4" t="s">
        <v>100</v>
      </c>
      <c r="AS21" s="4">
        <v>5</v>
      </c>
      <c r="AT21" s="4" t="s">
        <v>100</v>
      </c>
      <c r="AU21" s="4" t="s">
        <v>112</v>
      </c>
      <c r="AV21" s="4" t="s">
        <v>100</v>
      </c>
      <c r="AW21" s="4">
        <v>22</v>
      </c>
      <c r="AX21" s="4" t="s">
        <v>100</v>
      </c>
      <c r="AY21" s="4">
        <v>0</v>
      </c>
      <c r="AZ21" s="4" t="s">
        <v>100</v>
      </c>
      <c r="BA21" s="4">
        <v>2</v>
      </c>
      <c r="BB21" s="4" t="s">
        <v>100</v>
      </c>
      <c r="BC21" s="4" t="s">
        <v>112</v>
      </c>
      <c r="BD21" s="6" t="s">
        <v>102</v>
      </c>
    </row>
    <row r="22" spans="1:56">
      <c r="A22" s="4">
        <f t="shared" si="0"/>
        <v>259656.7</v>
      </c>
      <c r="B22" s="4" t="s">
        <v>23</v>
      </c>
      <c r="C22" s="4" t="s">
        <v>100</v>
      </c>
      <c r="D22" s="4">
        <f t="shared" si="1"/>
        <v>259656.7</v>
      </c>
      <c r="E22" s="4" t="s">
        <v>100</v>
      </c>
      <c r="F22" s="4">
        <f t="shared" si="2"/>
        <v>259869.59</v>
      </c>
      <c r="G22" s="4" t="s">
        <v>100</v>
      </c>
      <c r="H22" s="4">
        <f t="shared" si="3"/>
        <v>1653.67</v>
      </c>
      <c r="I22" s="4" t="s">
        <v>100</v>
      </c>
      <c r="J22" s="4">
        <f t="shared" si="4"/>
        <v>259652.1</v>
      </c>
      <c r="K22" s="4" t="s">
        <v>100</v>
      </c>
      <c r="L22" s="4">
        <f t="shared" si="5"/>
        <v>260943.6</v>
      </c>
      <c r="M22" s="4" t="s">
        <v>100</v>
      </c>
      <c r="N22" s="4">
        <f t="shared" si="6"/>
        <v>261216.01</v>
      </c>
      <c r="O22" s="4" t="s">
        <v>100</v>
      </c>
      <c r="P22" s="4">
        <f t="shared" si="7"/>
        <v>1657.82</v>
      </c>
      <c r="Q22" s="4" t="s">
        <v>100</v>
      </c>
      <c r="R22" s="4">
        <f t="shared" si="8"/>
        <v>260904.7</v>
      </c>
      <c r="S22" s="4" t="s">
        <v>100</v>
      </c>
      <c r="T22" s="4">
        <f t="shared" si="9"/>
        <v>260061.1</v>
      </c>
      <c r="U22" s="4" t="s">
        <v>100</v>
      </c>
      <c r="V22" s="4">
        <f t="shared" si="10"/>
        <v>260153.49</v>
      </c>
      <c r="W22" s="4" t="s">
        <v>100</v>
      </c>
      <c r="X22" s="4">
        <f t="shared" si="11"/>
        <v>1296.8699999999999</v>
      </c>
      <c r="Y22" s="4" t="s">
        <v>100</v>
      </c>
      <c r="Z22" s="4">
        <f t="shared" si="12"/>
        <v>260048</v>
      </c>
      <c r="AA22" s="4" t="s">
        <v>100</v>
      </c>
      <c r="AB22" s="4">
        <f t="shared" si="13"/>
        <v>260151.2</v>
      </c>
      <c r="AC22" s="4" t="s">
        <v>100</v>
      </c>
      <c r="AD22" s="4">
        <f t="shared" si="14"/>
        <v>260237.58</v>
      </c>
      <c r="AE22" s="4" t="s">
        <v>100</v>
      </c>
      <c r="AF22" s="4">
        <f t="shared" si="15"/>
        <v>673.55</v>
      </c>
      <c r="AG22" s="4" t="s">
        <v>100</v>
      </c>
      <c r="AH22" s="4">
        <f t="shared" si="16"/>
        <v>260146.8</v>
      </c>
      <c r="AI22" s="6" t="s">
        <v>102</v>
      </c>
    </row>
    <row r="23" spans="1:56">
      <c r="A23" s="4">
        <f t="shared" si="0"/>
        <v>168321.2</v>
      </c>
      <c r="B23" s="4" t="s">
        <v>24</v>
      </c>
      <c r="C23" s="4" t="s">
        <v>100</v>
      </c>
      <c r="D23" s="4">
        <f t="shared" si="1"/>
        <v>168321.2</v>
      </c>
      <c r="E23" s="4" t="s">
        <v>100</v>
      </c>
      <c r="F23" s="4">
        <f t="shared" si="2"/>
        <v>168378.93</v>
      </c>
      <c r="G23" s="4" t="s">
        <v>100</v>
      </c>
      <c r="H23" s="4">
        <f t="shared" si="3"/>
        <v>1522.26</v>
      </c>
      <c r="I23" s="4" t="s">
        <v>100</v>
      </c>
      <c r="J23" s="4">
        <f t="shared" si="4"/>
        <v>168355.20000000001</v>
      </c>
      <c r="K23" s="4" t="s">
        <v>100</v>
      </c>
      <c r="L23" s="4">
        <f t="shared" si="5"/>
        <v>171459.9</v>
      </c>
      <c r="M23" s="4" t="s">
        <v>100</v>
      </c>
      <c r="N23" s="4">
        <f t="shared" si="6"/>
        <v>171710.13</v>
      </c>
      <c r="O23" s="4" t="s">
        <v>100</v>
      </c>
      <c r="P23" s="4">
        <f t="shared" si="7"/>
        <v>1577.1</v>
      </c>
      <c r="Q23" s="4" t="s">
        <v>100</v>
      </c>
      <c r="R23" s="4">
        <f t="shared" si="8"/>
        <v>171457.3</v>
      </c>
      <c r="S23" s="4" t="s">
        <v>100</v>
      </c>
      <c r="T23" s="4">
        <f t="shared" si="9"/>
        <v>168610.9</v>
      </c>
      <c r="U23" s="4" t="s">
        <v>100</v>
      </c>
      <c r="V23" s="4">
        <f t="shared" si="10"/>
        <v>168956.81</v>
      </c>
      <c r="W23" s="4" t="s">
        <v>100</v>
      </c>
      <c r="X23" s="4">
        <f t="shared" si="11"/>
        <v>1617.92</v>
      </c>
      <c r="Y23" s="4" t="s">
        <v>100</v>
      </c>
      <c r="Z23" s="4">
        <f t="shared" si="12"/>
        <v>168647.5</v>
      </c>
      <c r="AA23" s="4" t="s">
        <v>100</v>
      </c>
      <c r="AB23" s="4">
        <f t="shared" si="13"/>
        <v>169022.6</v>
      </c>
      <c r="AC23" s="4" t="s">
        <v>100</v>
      </c>
      <c r="AD23" s="4">
        <f t="shared" si="14"/>
        <v>169352.54</v>
      </c>
      <c r="AE23" s="4" t="s">
        <v>100</v>
      </c>
      <c r="AF23" s="4">
        <f t="shared" si="15"/>
        <v>1092.49</v>
      </c>
      <c r="AG23" s="4" t="s">
        <v>100</v>
      </c>
      <c r="AH23" s="4">
        <f t="shared" si="16"/>
        <v>169034.8</v>
      </c>
      <c r="AI23" s="6" t="s">
        <v>102</v>
      </c>
    </row>
    <row r="24" spans="1:56">
      <c r="A24" s="4">
        <f t="shared" si="0"/>
        <v>256174.84</v>
      </c>
      <c r="B24" s="4" t="s">
        <v>25</v>
      </c>
      <c r="C24" s="4" t="s">
        <v>100</v>
      </c>
      <c r="D24" s="4">
        <f t="shared" si="1"/>
        <v>256174.84</v>
      </c>
      <c r="E24" s="4" t="s">
        <v>100</v>
      </c>
      <c r="F24" s="4">
        <f t="shared" si="2"/>
        <v>256684.28</v>
      </c>
      <c r="G24" s="4" t="s">
        <v>100</v>
      </c>
      <c r="H24" s="4">
        <f t="shared" si="3"/>
        <v>1603.11</v>
      </c>
      <c r="I24" s="4" t="s">
        <v>100</v>
      </c>
      <c r="J24" s="4">
        <f t="shared" si="4"/>
        <v>256202</v>
      </c>
      <c r="K24" s="4" t="s">
        <v>100</v>
      </c>
      <c r="L24" s="4">
        <f t="shared" si="5"/>
        <v>260713.3</v>
      </c>
      <c r="M24" s="4" t="s">
        <v>100</v>
      </c>
      <c r="N24" s="4">
        <f t="shared" si="6"/>
        <v>261217.1</v>
      </c>
      <c r="O24" s="4" t="s">
        <v>100</v>
      </c>
      <c r="P24" s="4">
        <f t="shared" si="7"/>
        <v>1674.77</v>
      </c>
      <c r="Q24" s="4" t="s">
        <v>100</v>
      </c>
      <c r="R24" s="4">
        <f t="shared" si="8"/>
        <v>260810</v>
      </c>
      <c r="S24" s="4" t="s">
        <v>100</v>
      </c>
      <c r="T24" s="4">
        <f t="shared" si="9"/>
        <v>258085.3</v>
      </c>
      <c r="U24" s="4" t="s">
        <v>100</v>
      </c>
      <c r="V24" s="4">
        <f t="shared" si="10"/>
        <v>258651.96</v>
      </c>
      <c r="W24" s="4" t="s">
        <v>100</v>
      </c>
      <c r="X24" s="4">
        <f t="shared" si="11"/>
        <v>540.36</v>
      </c>
      <c r="Y24" s="4" t="s">
        <v>100</v>
      </c>
      <c r="Z24" s="4">
        <f t="shared" si="12"/>
        <v>258129.4</v>
      </c>
      <c r="AA24" s="4" t="s">
        <v>100</v>
      </c>
      <c r="AB24" s="4">
        <f t="shared" si="13"/>
        <v>258085.3</v>
      </c>
      <c r="AC24" s="4" t="s">
        <v>100</v>
      </c>
      <c r="AD24" s="4">
        <f t="shared" si="14"/>
        <v>258815.87</v>
      </c>
      <c r="AE24" s="4" t="s">
        <v>100</v>
      </c>
      <c r="AF24" s="4">
        <f t="shared" si="15"/>
        <v>1164.96</v>
      </c>
      <c r="AG24" s="4" t="s">
        <v>100</v>
      </c>
      <c r="AH24" s="4">
        <f t="shared" si="16"/>
        <v>258129.4</v>
      </c>
      <c r="AI24" s="6" t="s">
        <v>102</v>
      </c>
    </row>
    <row r="25" spans="1:56">
      <c r="A25" s="4">
        <f t="shared" si="0"/>
        <v>258497.09</v>
      </c>
      <c r="B25" s="4" t="s">
        <v>26</v>
      </c>
      <c r="C25" s="4" t="s">
        <v>100</v>
      </c>
      <c r="D25" s="4">
        <f t="shared" si="1"/>
        <v>258497.09</v>
      </c>
      <c r="E25" s="4" t="s">
        <v>100</v>
      </c>
      <c r="F25" s="4">
        <f t="shared" si="2"/>
        <v>258632.3</v>
      </c>
      <c r="G25" s="4" t="s">
        <v>100</v>
      </c>
      <c r="H25" s="4">
        <f t="shared" si="3"/>
        <v>1644.68</v>
      </c>
      <c r="I25" s="4" t="s">
        <v>100</v>
      </c>
      <c r="J25" s="4">
        <f t="shared" si="4"/>
        <v>258447.2</v>
      </c>
      <c r="K25" s="4" t="s">
        <v>100</v>
      </c>
      <c r="L25" s="4">
        <f t="shared" si="5"/>
        <v>263020.79999999999</v>
      </c>
      <c r="M25" s="4" t="s">
        <v>100</v>
      </c>
      <c r="N25" s="4">
        <f t="shared" si="6"/>
        <v>263635.56</v>
      </c>
      <c r="O25" s="4" t="s">
        <v>100</v>
      </c>
      <c r="P25" s="4">
        <f t="shared" si="7"/>
        <v>1680.58</v>
      </c>
      <c r="Q25" s="4" t="s">
        <v>100</v>
      </c>
      <c r="R25" s="4">
        <f t="shared" si="8"/>
        <v>263001</v>
      </c>
      <c r="S25" s="4" t="s">
        <v>100</v>
      </c>
      <c r="T25" s="4">
        <f t="shared" si="9"/>
        <v>260783.5</v>
      </c>
      <c r="U25" s="4" t="s">
        <v>100</v>
      </c>
      <c r="V25" s="4">
        <f t="shared" si="10"/>
        <v>261486.01</v>
      </c>
      <c r="W25" s="4" t="s">
        <v>100</v>
      </c>
      <c r="X25" s="4">
        <f t="shared" si="11"/>
        <v>1148.46</v>
      </c>
      <c r="Y25" s="4" t="s">
        <v>100</v>
      </c>
      <c r="Z25" s="4">
        <f t="shared" si="12"/>
        <v>260765.7</v>
      </c>
      <c r="AA25" s="4" t="s">
        <v>100</v>
      </c>
      <c r="AB25" s="4">
        <f t="shared" si="13"/>
        <v>260783.5</v>
      </c>
      <c r="AC25" s="4" t="s">
        <v>100</v>
      </c>
      <c r="AD25" s="4">
        <f t="shared" si="14"/>
        <v>261695.93</v>
      </c>
      <c r="AE25" s="4" t="s">
        <v>100</v>
      </c>
      <c r="AF25" s="4">
        <f t="shared" si="15"/>
        <v>1036</v>
      </c>
      <c r="AG25" s="4" t="s">
        <v>100</v>
      </c>
      <c r="AH25" s="4">
        <f t="shared" si="16"/>
        <v>260765.7</v>
      </c>
      <c r="AI25" s="6" t="s">
        <v>102</v>
      </c>
    </row>
    <row r="26" spans="1:56">
      <c r="A26" s="4">
        <f t="shared" si="0"/>
        <v>554099.42000000004</v>
      </c>
      <c r="B26" s="4" t="s">
        <v>27</v>
      </c>
      <c r="C26" s="4" t="s">
        <v>100</v>
      </c>
      <c r="D26" s="4">
        <f t="shared" si="1"/>
        <v>554099.42000000004</v>
      </c>
      <c r="E26" s="4" t="s">
        <v>100</v>
      </c>
      <c r="F26" s="4">
        <f t="shared" si="2"/>
        <v>554848.92000000004</v>
      </c>
      <c r="G26" s="4" t="s">
        <v>100</v>
      </c>
      <c r="H26" s="4">
        <f t="shared" si="3"/>
        <v>1300.46</v>
      </c>
      <c r="I26" s="4" t="s">
        <v>100</v>
      </c>
      <c r="J26" s="4">
        <f t="shared" si="4"/>
        <v>554057.4</v>
      </c>
      <c r="K26" s="4" t="s">
        <v>100</v>
      </c>
      <c r="L26" s="4">
        <f t="shared" si="5"/>
        <v>560289.4</v>
      </c>
      <c r="M26" s="4" t="s">
        <v>100</v>
      </c>
      <c r="N26" s="4">
        <f t="shared" si="6"/>
        <v>561870.42000000004</v>
      </c>
      <c r="O26" s="4" t="s">
        <v>100</v>
      </c>
      <c r="P26" s="4">
        <f t="shared" si="7"/>
        <v>1216.8</v>
      </c>
      <c r="Q26" s="4" t="s">
        <v>100</v>
      </c>
      <c r="R26" s="4">
        <f t="shared" si="8"/>
        <v>560090.5</v>
      </c>
      <c r="S26" s="4" t="s">
        <v>100</v>
      </c>
      <c r="T26" s="4">
        <f t="shared" si="9"/>
        <v>555576.9</v>
      </c>
      <c r="U26" s="4" t="s">
        <v>100</v>
      </c>
      <c r="V26" s="4">
        <f t="shared" si="10"/>
        <v>555858.18000000005</v>
      </c>
      <c r="W26" s="4" t="s">
        <v>100</v>
      </c>
      <c r="X26" s="4">
        <f t="shared" si="11"/>
        <v>1258.31</v>
      </c>
      <c r="Y26" s="4" t="s">
        <v>100</v>
      </c>
      <c r="Z26" s="4">
        <f t="shared" si="12"/>
        <v>555483.19999999995</v>
      </c>
      <c r="AA26" s="4" t="s">
        <v>100</v>
      </c>
      <c r="AB26" s="4">
        <f t="shared" si="13"/>
        <v>555576.9</v>
      </c>
      <c r="AC26" s="4" t="s">
        <v>100</v>
      </c>
      <c r="AD26" s="4">
        <f t="shared" si="14"/>
        <v>556354.18000000005</v>
      </c>
      <c r="AE26" s="4" t="s">
        <v>100</v>
      </c>
      <c r="AF26" s="4">
        <f t="shared" si="15"/>
        <v>1403.34</v>
      </c>
      <c r="AG26" s="4" t="s">
        <v>100</v>
      </c>
      <c r="AH26" s="4">
        <f t="shared" si="16"/>
        <v>555483.19999999995</v>
      </c>
      <c r="AI26" s="6" t="s">
        <v>102</v>
      </c>
    </row>
    <row r="27" spans="1:56">
      <c r="A27" s="4">
        <f t="shared" si="0"/>
        <v>373005.98</v>
      </c>
      <c r="B27" s="4" t="s">
        <v>28</v>
      </c>
      <c r="C27" s="4" t="s">
        <v>100</v>
      </c>
      <c r="D27" s="4">
        <f t="shared" si="1"/>
        <v>373005.98</v>
      </c>
      <c r="E27" s="4" t="s">
        <v>100</v>
      </c>
      <c r="F27" s="4">
        <f t="shared" si="2"/>
        <v>374262.99</v>
      </c>
      <c r="G27" s="4" t="s">
        <v>100</v>
      </c>
      <c r="H27" s="4">
        <f t="shared" si="3"/>
        <v>1365.15</v>
      </c>
      <c r="I27" s="4" t="s">
        <v>100</v>
      </c>
      <c r="J27" s="4">
        <f t="shared" si="4"/>
        <v>373042.9</v>
      </c>
      <c r="K27" s="4" t="s">
        <v>100</v>
      </c>
      <c r="L27" s="4">
        <f t="shared" si="5"/>
        <v>383192.8</v>
      </c>
      <c r="M27" s="4" t="s">
        <v>100</v>
      </c>
      <c r="N27" s="4">
        <f t="shared" si="6"/>
        <v>384059.22</v>
      </c>
      <c r="O27" s="4" t="s">
        <v>100</v>
      </c>
      <c r="P27" s="4">
        <f t="shared" si="7"/>
        <v>1112.27</v>
      </c>
      <c r="Q27" s="4" t="s">
        <v>100</v>
      </c>
      <c r="R27" s="4">
        <f t="shared" si="8"/>
        <v>383124.1</v>
      </c>
      <c r="S27" s="4" t="s">
        <v>100</v>
      </c>
      <c r="T27" s="4">
        <f t="shared" si="9"/>
        <v>376213.5</v>
      </c>
      <c r="U27" s="4" t="s">
        <v>100</v>
      </c>
      <c r="V27" s="4">
        <f t="shared" si="10"/>
        <v>377380.94</v>
      </c>
      <c r="W27" s="4" t="s">
        <v>100</v>
      </c>
      <c r="X27" s="4">
        <f t="shared" si="11"/>
        <v>1468.63</v>
      </c>
      <c r="Y27" s="4" t="s">
        <v>100</v>
      </c>
      <c r="Z27" s="4">
        <f t="shared" si="12"/>
        <v>376286</v>
      </c>
      <c r="AA27" s="4" t="s">
        <v>100</v>
      </c>
      <c r="AB27" s="4">
        <f t="shared" si="13"/>
        <v>377562.9</v>
      </c>
      <c r="AC27" s="4" t="s">
        <v>100</v>
      </c>
      <c r="AD27" s="4">
        <f t="shared" si="14"/>
        <v>378674.32</v>
      </c>
      <c r="AE27" s="4" t="s">
        <v>100</v>
      </c>
      <c r="AF27" s="4">
        <f t="shared" si="15"/>
        <v>1921.08</v>
      </c>
      <c r="AG27" s="4" t="s">
        <v>100</v>
      </c>
      <c r="AH27" s="4">
        <f t="shared" si="16"/>
        <v>377586.2</v>
      </c>
      <c r="AI27" s="6" t="s">
        <v>102</v>
      </c>
    </row>
    <row r="28" spans="1:56">
      <c r="A28" s="4">
        <f t="shared" si="0"/>
        <v>773276.74</v>
      </c>
      <c r="B28" s="4" t="s">
        <v>29</v>
      </c>
      <c r="C28" s="4" t="s">
        <v>100</v>
      </c>
      <c r="D28" s="4">
        <f t="shared" si="1"/>
        <v>773276.74</v>
      </c>
      <c r="E28" s="4" t="s">
        <v>100</v>
      </c>
      <c r="F28" s="4">
        <f t="shared" si="2"/>
        <v>774292.47</v>
      </c>
      <c r="G28" s="4" t="s">
        <v>100</v>
      </c>
      <c r="H28" s="4">
        <f t="shared" si="3"/>
        <v>620.95000000000005</v>
      </c>
      <c r="I28" s="4" t="s">
        <v>100</v>
      </c>
      <c r="J28" s="4">
        <f t="shared" si="4"/>
        <v>773151.4</v>
      </c>
      <c r="K28" s="4" t="s">
        <v>100</v>
      </c>
      <c r="L28" s="4">
        <f t="shared" si="5"/>
        <v>783806.3</v>
      </c>
      <c r="M28" s="4" t="s">
        <v>100</v>
      </c>
      <c r="N28" s="4">
        <f t="shared" si="6"/>
        <v>785425.31</v>
      </c>
      <c r="O28" s="4" t="s">
        <v>100</v>
      </c>
      <c r="P28" s="4">
        <f t="shared" si="7"/>
        <v>895.39</v>
      </c>
      <c r="Q28" s="4" t="s">
        <v>100</v>
      </c>
      <c r="R28" s="4">
        <f t="shared" si="8"/>
        <v>783624.9</v>
      </c>
      <c r="S28" s="4" t="s">
        <v>100</v>
      </c>
      <c r="T28" s="4">
        <f t="shared" si="9"/>
        <v>775503.2</v>
      </c>
      <c r="U28" s="4" t="s">
        <v>100</v>
      </c>
      <c r="V28" s="4">
        <f t="shared" si="10"/>
        <v>777986.22</v>
      </c>
      <c r="W28" s="4" t="s">
        <v>100</v>
      </c>
      <c r="X28" s="4">
        <f t="shared" si="11"/>
        <v>1945.98</v>
      </c>
      <c r="Y28" s="4" t="s">
        <v>100</v>
      </c>
      <c r="Z28" s="4">
        <f t="shared" si="12"/>
        <v>775483.1</v>
      </c>
      <c r="AA28" s="4" t="s">
        <v>100</v>
      </c>
      <c r="AB28" s="4">
        <f t="shared" si="13"/>
        <v>776606.7</v>
      </c>
      <c r="AC28" s="4" t="s">
        <v>100</v>
      </c>
      <c r="AD28" s="4">
        <f t="shared" si="14"/>
        <v>780047.99</v>
      </c>
      <c r="AE28" s="4" t="s">
        <v>100</v>
      </c>
      <c r="AF28" s="4">
        <f t="shared" si="15"/>
        <v>2469.8200000000002</v>
      </c>
      <c r="AG28" s="4" t="s">
        <v>100</v>
      </c>
      <c r="AH28" s="4">
        <f t="shared" si="16"/>
        <v>776564.6</v>
      </c>
      <c r="AI28" s="6" t="s">
        <v>102</v>
      </c>
    </row>
    <row r="29" spans="1:56">
      <c r="A29" s="4">
        <f t="shared" si="0"/>
        <v>749159.93</v>
      </c>
      <c r="B29" s="4" t="s">
        <v>30</v>
      </c>
      <c r="C29" s="4" t="s">
        <v>100</v>
      </c>
      <c r="D29" s="4">
        <f t="shared" si="1"/>
        <v>749159.93</v>
      </c>
      <c r="E29" s="4" t="s">
        <v>100</v>
      </c>
      <c r="F29" s="4">
        <f t="shared" si="2"/>
        <v>751312.57</v>
      </c>
      <c r="G29" s="4" t="s">
        <v>100</v>
      </c>
      <c r="H29" s="4">
        <f t="shared" si="3"/>
        <v>1347.21</v>
      </c>
      <c r="I29" s="4" t="s">
        <v>100</v>
      </c>
      <c r="J29" s="4">
        <f t="shared" si="4"/>
        <v>749120</v>
      </c>
      <c r="K29" s="4" t="s">
        <v>100</v>
      </c>
      <c r="L29" s="4">
        <f t="shared" si="5"/>
        <v>762277.7</v>
      </c>
      <c r="M29" s="4" t="s">
        <v>100</v>
      </c>
      <c r="N29" s="4">
        <f t="shared" si="6"/>
        <v>764966.46</v>
      </c>
      <c r="O29" s="4" t="s">
        <v>100</v>
      </c>
      <c r="P29" s="4">
        <f t="shared" si="7"/>
        <v>1076.23</v>
      </c>
      <c r="Q29" s="4" t="s">
        <v>100</v>
      </c>
      <c r="R29" s="4">
        <f t="shared" si="8"/>
        <v>762309.2</v>
      </c>
      <c r="S29" s="4" t="s">
        <v>100</v>
      </c>
      <c r="T29" s="4">
        <f t="shared" si="9"/>
        <v>755112.7</v>
      </c>
      <c r="U29" s="4" t="s">
        <v>100</v>
      </c>
      <c r="V29" s="4">
        <f t="shared" si="10"/>
        <v>762027.54</v>
      </c>
      <c r="W29" s="4" t="s">
        <v>100</v>
      </c>
      <c r="X29" s="4">
        <f t="shared" si="11"/>
        <v>2575.5300000000002</v>
      </c>
      <c r="Y29" s="4" t="s">
        <v>100</v>
      </c>
      <c r="Z29" s="4">
        <f t="shared" si="12"/>
        <v>755144.3</v>
      </c>
      <c r="AA29" s="4" t="s">
        <v>100</v>
      </c>
      <c r="AB29" s="4">
        <f t="shared" si="13"/>
        <v>765069.7</v>
      </c>
      <c r="AC29" s="4" t="s">
        <v>100</v>
      </c>
      <c r="AD29" s="4">
        <f t="shared" si="14"/>
        <v>768359.59</v>
      </c>
      <c r="AE29" s="4" t="s">
        <v>100</v>
      </c>
      <c r="AF29" s="4">
        <f t="shared" si="15"/>
        <v>3336.57</v>
      </c>
      <c r="AG29" s="4" t="s">
        <v>100</v>
      </c>
      <c r="AH29" s="4">
        <f t="shared" si="16"/>
        <v>765039.5</v>
      </c>
      <c r="AI29" s="6" t="s">
        <v>102</v>
      </c>
    </row>
    <row r="30" spans="1:56">
      <c r="AI30" s="6"/>
    </row>
    <row r="31" spans="1:56">
      <c r="A31" s="4">
        <f t="shared" si="0"/>
        <v>17588.009999999998</v>
      </c>
      <c r="B31" s="4" t="s">
        <v>31</v>
      </c>
      <c r="C31" s="4" t="s">
        <v>100</v>
      </c>
      <c r="D31" s="4">
        <f t="shared" si="1"/>
        <v>17588.009999999998</v>
      </c>
      <c r="E31" s="4" t="s">
        <v>100</v>
      </c>
      <c r="F31" s="4">
        <f t="shared" si="2"/>
        <v>17588.009999999998</v>
      </c>
      <c r="G31" s="4" t="s">
        <v>100</v>
      </c>
      <c r="H31" s="4">
        <f t="shared" ref="H31:H79" si="17">F114</f>
        <v>24.11</v>
      </c>
      <c r="I31" s="4" t="s">
        <v>100</v>
      </c>
      <c r="J31" s="4">
        <f t="shared" ref="J31:J79" si="18">G114</f>
        <v>17568.7</v>
      </c>
      <c r="K31" s="4" t="s">
        <v>100</v>
      </c>
      <c r="L31" s="4">
        <f t="shared" ref="L31:L79" si="19">I114</f>
        <v>18470.400000000001</v>
      </c>
      <c r="M31" s="4" t="s">
        <v>100</v>
      </c>
      <c r="N31" s="4">
        <f t="shared" ref="N31:N79" si="20">J114</f>
        <v>18471.23</v>
      </c>
      <c r="O31" s="4" t="s">
        <v>100</v>
      </c>
      <c r="P31" s="4">
        <f t="shared" ref="P31:P79" si="21">K114</f>
        <v>3.7</v>
      </c>
      <c r="Q31" s="4" t="s">
        <v>100</v>
      </c>
      <c r="R31" s="4">
        <f t="shared" ref="R31:R79" si="22">L114</f>
        <v>18432.5</v>
      </c>
      <c r="S31" s="4" t="s">
        <v>100</v>
      </c>
      <c r="T31" s="4">
        <f t="shared" ref="T31:T79" si="23">M114</f>
        <v>17588.5</v>
      </c>
      <c r="U31" s="4" t="s">
        <v>100</v>
      </c>
      <c r="V31" s="4">
        <f t="shared" ref="V31:V79" si="24">N114</f>
        <v>17588.52</v>
      </c>
      <c r="W31" s="4" t="s">
        <v>100</v>
      </c>
      <c r="X31" s="4">
        <f t="shared" ref="X31:X79" si="25">O114</f>
        <v>38.67</v>
      </c>
      <c r="Y31" s="4" t="s">
        <v>100</v>
      </c>
      <c r="Z31" s="4">
        <f t="shared" ref="Z31:Z79" si="26">P114</f>
        <v>17567.900000000001</v>
      </c>
      <c r="AA31" s="4" t="s">
        <v>100</v>
      </c>
      <c r="AB31" s="4">
        <f t="shared" ref="AB31:AB79" si="27">Q114</f>
        <v>17588.5</v>
      </c>
      <c r="AC31" s="4" t="s">
        <v>100</v>
      </c>
      <c r="AD31" s="4">
        <f t="shared" ref="AD31:AD79" si="28">R114</f>
        <v>17588.52</v>
      </c>
      <c r="AE31" s="4" t="s">
        <v>100</v>
      </c>
      <c r="AF31" s="4">
        <f t="shared" ref="AF31:AF79" si="29">S114</f>
        <v>68.03</v>
      </c>
      <c r="AG31" s="4" t="s">
        <v>100</v>
      </c>
      <c r="AH31" s="4">
        <f t="shared" ref="AH31:AH79" si="30">T114</f>
        <v>17567.900000000001</v>
      </c>
      <c r="AI31" s="6" t="s">
        <v>102</v>
      </c>
    </row>
    <row r="32" spans="1:56">
      <c r="A32" s="4">
        <f t="shared" si="0"/>
        <v>24588.2</v>
      </c>
      <c r="B32" s="4" t="s">
        <v>32</v>
      </c>
      <c r="C32" s="4" t="s">
        <v>100</v>
      </c>
      <c r="D32" s="4">
        <f t="shared" si="1"/>
        <v>24588.2</v>
      </c>
      <c r="E32" s="4" t="s">
        <v>100</v>
      </c>
      <c r="F32" s="4">
        <f t="shared" si="2"/>
        <v>24588.2</v>
      </c>
      <c r="G32" s="4" t="s">
        <v>100</v>
      </c>
      <c r="H32" s="4">
        <f t="shared" si="17"/>
        <v>5.91</v>
      </c>
      <c r="I32" s="4" t="s">
        <v>100</v>
      </c>
      <c r="J32" s="4">
        <f t="shared" si="18"/>
        <v>24549.1</v>
      </c>
      <c r="K32" s="4" t="s">
        <v>100</v>
      </c>
      <c r="L32" s="4">
        <f t="shared" si="19"/>
        <v>25312.799999999999</v>
      </c>
      <c r="M32" s="4" t="s">
        <v>100</v>
      </c>
      <c r="N32" s="4">
        <f t="shared" si="20"/>
        <v>25312.79</v>
      </c>
      <c r="O32" s="4" t="s">
        <v>100</v>
      </c>
      <c r="P32" s="4">
        <f t="shared" si="21"/>
        <v>0.85</v>
      </c>
      <c r="Q32" s="4" t="s">
        <v>100</v>
      </c>
      <c r="R32" s="4">
        <f t="shared" si="22"/>
        <v>25251.5</v>
      </c>
      <c r="S32" s="4" t="s">
        <v>100</v>
      </c>
      <c r="T32" s="4">
        <f t="shared" si="23"/>
        <v>24592.1</v>
      </c>
      <c r="U32" s="4" t="s">
        <v>100</v>
      </c>
      <c r="V32" s="4">
        <f t="shared" si="24"/>
        <v>24592.62</v>
      </c>
      <c r="W32" s="4" t="s">
        <v>100</v>
      </c>
      <c r="X32" s="4">
        <f t="shared" si="25"/>
        <v>19.53</v>
      </c>
      <c r="Y32" s="4" t="s">
        <v>100</v>
      </c>
      <c r="Z32" s="4">
        <f t="shared" si="26"/>
        <v>24554.799999999999</v>
      </c>
      <c r="AA32" s="4" t="s">
        <v>100</v>
      </c>
      <c r="AB32" s="4">
        <f t="shared" si="27"/>
        <v>24592.1</v>
      </c>
      <c r="AC32" s="4" t="s">
        <v>100</v>
      </c>
      <c r="AD32" s="4">
        <f t="shared" si="28"/>
        <v>24592.53</v>
      </c>
      <c r="AE32" s="4" t="s">
        <v>100</v>
      </c>
      <c r="AF32" s="4">
        <f t="shared" si="29"/>
        <v>48.48</v>
      </c>
      <c r="AG32" s="4" t="s">
        <v>100</v>
      </c>
      <c r="AH32" s="4">
        <f t="shared" si="30"/>
        <v>24554.799999999999</v>
      </c>
      <c r="AI32" s="6" t="s">
        <v>102</v>
      </c>
    </row>
    <row r="33" spans="1:49">
      <c r="A33" s="4">
        <f t="shared" si="0"/>
        <v>37798.25</v>
      </c>
      <c r="B33" s="4" t="s">
        <v>33</v>
      </c>
      <c r="C33" s="4" t="s">
        <v>100</v>
      </c>
      <c r="D33" s="4">
        <f t="shared" si="1"/>
        <v>37798.25</v>
      </c>
      <c r="E33" s="4" t="s">
        <v>100</v>
      </c>
      <c r="F33" s="4">
        <f t="shared" si="2"/>
        <v>37798.93</v>
      </c>
      <c r="G33" s="4" t="s">
        <v>100</v>
      </c>
      <c r="H33" s="4">
        <f t="shared" si="17"/>
        <v>934.95</v>
      </c>
      <c r="I33" s="4" t="s">
        <v>100</v>
      </c>
      <c r="J33" s="4">
        <f t="shared" si="18"/>
        <v>37788.199999999997</v>
      </c>
      <c r="K33" s="4" t="s">
        <v>100</v>
      </c>
      <c r="L33" s="4">
        <f t="shared" si="19"/>
        <v>38652.6</v>
      </c>
      <c r="M33" s="4" t="s">
        <v>100</v>
      </c>
      <c r="N33" s="4">
        <f t="shared" si="20"/>
        <v>38652.86</v>
      </c>
      <c r="O33" s="4" t="s">
        <v>100</v>
      </c>
      <c r="P33" s="4">
        <f t="shared" si="21"/>
        <v>766.15</v>
      </c>
      <c r="Q33" s="4" t="s">
        <v>100</v>
      </c>
      <c r="R33" s="4">
        <f t="shared" si="22"/>
        <v>38661.5</v>
      </c>
      <c r="S33" s="4" t="s">
        <v>100</v>
      </c>
      <c r="T33" s="4">
        <f t="shared" si="23"/>
        <v>37801</v>
      </c>
      <c r="U33" s="4" t="s">
        <v>100</v>
      </c>
      <c r="V33" s="4">
        <f t="shared" si="24"/>
        <v>37810.44</v>
      </c>
      <c r="W33" s="4" t="s">
        <v>100</v>
      </c>
      <c r="X33" s="4">
        <f t="shared" si="25"/>
        <v>935.72</v>
      </c>
      <c r="Y33" s="4" t="s">
        <v>100</v>
      </c>
      <c r="Z33" s="4">
        <f t="shared" si="26"/>
        <v>37788.800000000003</v>
      </c>
      <c r="AA33" s="4" t="s">
        <v>100</v>
      </c>
      <c r="AB33" s="4">
        <f t="shared" si="27"/>
        <v>37799.599999999999</v>
      </c>
      <c r="AC33" s="4" t="s">
        <v>100</v>
      </c>
      <c r="AD33" s="4">
        <f t="shared" si="28"/>
        <v>37812</v>
      </c>
      <c r="AE33" s="4" t="s">
        <v>100</v>
      </c>
      <c r="AF33" s="4">
        <f t="shared" si="29"/>
        <v>808.91</v>
      </c>
      <c r="AG33" s="4" t="s">
        <v>100</v>
      </c>
      <c r="AH33" s="4">
        <f t="shared" si="30"/>
        <v>37788.9</v>
      </c>
      <c r="AI33" s="6" t="s">
        <v>102</v>
      </c>
    </row>
    <row r="34" spans="1:49">
      <c r="A34" s="4">
        <f t="shared" si="0"/>
        <v>50542.02</v>
      </c>
      <c r="B34" s="4" t="s">
        <v>34</v>
      </c>
      <c r="C34" s="4" t="s">
        <v>100</v>
      </c>
      <c r="D34" s="4">
        <f t="shared" si="1"/>
        <v>50542.02</v>
      </c>
      <c r="E34" s="4" t="s">
        <v>100</v>
      </c>
      <c r="F34" s="4">
        <f t="shared" si="2"/>
        <v>50549.05</v>
      </c>
      <c r="G34" s="4" t="s">
        <v>100</v>
      </c>
      <c r="H34" s="4">
        <f t="shared" si="17"/>
        <v>1161.5899999999999</v>
      </c>
      <c r="I34" s="4" t="s">
        <v>100</v>
      </c>
      <c r="J34" s="4">
        <f t="shared" si="18"/>
        <v>50566.1</v>
      </c>
      <c r="K34" s="4" t="s">
        <v>100</v>
      </c>
      <c r="L34" s="4">
        <f t="shared" si="19"/>
        <v>51587.3</v>
      </c>
      <c r="M34" s="4" t="s">
        <v>100</v>
      </c>
      <c r="N34" s="4">
        <f t="shared" si="20"/>
        <v>51587.26</v>
      </c>
      <c r="O34" s="4" t="s">
        <v>100</v>
      </c>
      <c r="P34" s="4">
        <f t="shared" si="21"/>
        <v>214.84</v>
      </c>
      <c r="Q34" s="4" t="s">
        <v>100</v>
      </c>
      <c r="R34" s="4">
        <f t="shared" si="22"/>
        <v>51619.6</v>
      </c>
      <c r="S34" s="4" t="s">
        <v>100</v>
      </c>
      <c r="T34" s="4">
        <f t="shared" si="23"/>
        <v>50561.1</v>
      </c>
      <c r="U34" s="4" t="s">
        <v>100</v>
      </c>
      <c r="V34" s="4">
        <f t="shared" si="24"/>
        <v>50589.46</v>
      </c>
      <c r="W34" s="4" t="s">
        <v>100</v>
      </c>
      <c r="X34" s="4">
        <f t="shared" si="25"/>
        <v>955.5</v>
      </c>
      <c r="Y34" s="4" t="s">
        <v>100</v>
      </c>
      <c r="Z34" s="4">
        <f t="shared" si="26"/>
        <v>50586.400000000001</v>
      </c>
      <c r="AA34" s="4" t="s">
        <v>100</v>
      </c>
      <c r="AB34" s="4">
        <f t="shared" si="27"/>
        <v>50561.1</v>
      </c>
      <c r="AC34" s="4" t="s">
        <v>100</v>
      </c>
      <c r="AD34" s="4">
        <f t="shared" si="28"/>
        <v>50600.12</v>
      </c>
      <c r="AE34" s="4" t="s">
        <v>100</v>
      </c>
      <c r="AF34" s="4">
        <f t="shared" si="29"/>
        <v>1199.45</v>
      </c>
      <c r="AG34" s="4" t="s">
        <v>100</v>
      </c>
      <c r="AH34" s="4">
        <f t="shared" si="30"/>
        <v>50586.400000000001</v>
      </c>
      <c r="AI34" s="6" t="s">
        <v>102</v>
      </c>
    </row>
    <row r="35" spans="1:49">
      <c r="A35" s="4">
        <f t="shared" si="0"/>
        <v>62467.74</v>
      </c>
      <c r="B35" s="4" t="s">
        <v>35</v>
      </c>
      <c r="C35" s="4" t="s">
        <v>100</v>
      </c>
      <c r="D35" s="4">
        <f t="shared" si="1"/>
        <v>62467.74</v>
      </c>
      <c r="E35" s="4" t="s">
        <v>100</v>
      </c>
      <c r="F35" s="4">
        <f t="shared" si="2"/>
        <v>62470.96</v>
      </c>
      <c r="G35" s="4" t="s">
        <v>100</v>
      </c>
      <c r="H35" s="4">
        <f t="shared" si="17"/>
        <v>1096.6500000000001</v>
      </c>
      <c r="I35" s="4" t="s">
        <v>100</v>
      </c>
      <c r="J35" s="4">
        <f t="shared" si="18"/>
        <v>62481.1</v>
      </c>
      <c r="K35" s="4" t="s">
        <v>100</v>
      </c>
      <c r="L35" s="4">
        <f t="shared" si="19"/>
        <v>64257.9</v>
      </c>
      <c r="M35" s="4" t="s">
        <v>100</v>
      </c>
      <c r="N35" s="4">
        <f t="shared" si="20"/>
        <v>64278.400000000001</v>
      </c>
      <c r="O35" s="4" t="s">
        <v>100</v>
      </c>
      <c r="P35" s="4">
        <f t="shared" si="21"/>
        <v>1159.69</v>
      </c>
      <c r="Q35" s="4" t="s">
        <v>100</v>
      </c>
      <c r="R35" s="4">
        <f t="shared" si="22"/>
        <v>64277.5</v>
      </c>
      <c r="S35" s="4" t="s">
        <v>100</v>
      </c>
      <c r="T35" s="4">
        <f t="shared" si="23"/>
        <v>62492.800000000003</v>
      </c>
      <c r="U35" s="4" t="s">
        <v>100</v>
      </c>
      <c r="V35" s="4">
        <f t="shared" si="24"/>
        <v>62580.49</v>
      </c>
      <c r="W35" s="4" t="s">
        <v>100</v>
      </c>
      <c r="X35" s="4">
        <f t="shared" si="25"/>
        <v>1173.45</v>
      </c>
      <c r="Y35" s="4" t="s">
        <v>100</v>
      </c>
      <c r="Z35" s="4">
        <f t="shared" si="26"/>
        <v>62494.5</v>
      </c>
      <c r="AA35" s="4" t="s">
        <v>100</v>
      </c>
      <c r="AB35" s="4">
        <f t="shared" si="27"/>
        <v>62500.7</v>
      </c>
      <c r="AC35" s="4" t="s">
        <v>100</v>
      </c>
      <c r="AD35" s="4">
        <f t="shared" si="28"/>
        <v>62580.35</v>
      </c>
      <c r="AE35" s="4" t="s">
        <v>100</v>
      </c>
      <c r="AF35" s="4">
        <f t="shared" si="29"/>
        <v>1225.03</v>
      </c>
      <c r="AG35" s="4" t="s">
        <v>100</v>
      </c>
      <c r="AH35" s="4">
        <f t="shared" si="30"/>
        <v>62502.8</v>
      </c>
      <c r="AI35" s="6" t="s">
        <v>102</v>
      </c>
    </row>
    <row r="36" spans="1:49">
      <c r="A36" s="4">
        <f t="shared" si="0"/>
        <v>67575.55</v>
      </c>
      <c r="B36" s="4" t="s">
        <v>36</v>
      </c>
      <c r="C36" s="4" t="s">
        <v>100</v>
      </c>
      <c r="D36" s="4">
        <f t="shared" si="1"/>
        <v>67575.55</v>
      </c>
      <c r="E36" s="4" t="s">
        <v>100</v>
      </c>
      <c r="F36" s="4">
        <f t="shared" si="2"/>
        <v>67688.62</v>
      </c>
      <c r="G36" s="4" t="s">
        <v>100</v>
      </c>
      <c r="H36" s="4">
        <f t="shared" si="17"/>
        <v>919.69</v>
      </c>
      <c r="I36" s="4" t="s">
        <v>100</v>
      </c>
      <c r="J36" s="4">
        <f t="shared" si="18"/>
        <v>67545.8</v>
      </c>
      <c r="K36" s="4" t="s">
        <v>100</v>
      </c>
      <c r="L36" s="4">
        <f t="shared" si="19"/>
        <v>68588.800000000003</v>
      </c>
      <c r="M36" s="4" t="s">
        <v>100</v>
      </c>
      <c r="N36" s="4">
        <f t="shared" si="20"/>
        <v>68619.509999999995</v>
      </c>
      <c r="O36" s="4" t="s">
        <v>100</v>
      </c>
      <c r="P36" s="4">
        <f t="shared" si="21"/>
        <v>663.92</v>
      </c>
      <c r="Q36" s="4" t="s">
        <v>100</v>
      </c>
      <c r="R36" s="4">
        <f t="shared" si="22"/>
        <v>68559.600000000006</v>
      </c>
      <c r="S36" s="4" t="s">
        <v>100</v>
      </c>
      <c r="T36" s="4">
        <f t="shared" si="23"/>
        <v>67644.100000000006</v>
      </c>
      <c r="U36" s="4" t="s">
        <v>100</v>
      </c>
      <c r="V36" s="4">
        <f t="shared" si="24"/>
        <v>67743.69</v>
      </c>
      <c r="W36" s="4" t="s">
        <v>100</v>
      </c>
      <c r="X36" s="4">
        <f t="shared" si="25"/>
        <v>1168.5</v>
      </c>
      <c r="Y36" s="4" t="s">
        <v>100</v>
      </c>
      <c r="Z36" s="4">
        <f t="shared" si="26"/>
        <v>67604.5</v>
      </c>
      <c r="AA36" s="4" t="s">
        <v>100</v>
      </c>
      <c r="AB36" s="4">
        <f t="shared" si="27"/>
        <v>67705</v>
      </c>
      <c r="AC36" s="4" t="s">
        <v>100</v>
      </c>
      <c r="AD36" s="4">
        <f t="shared" si="28"/>
        <v>67803.83</v>
      </c>
      <c r="AE36" s="4" t="s">
        <v>100</v>
      </c>
      <c r="AF36" s="4">
        <f t="shared" si="29"/>
        <v>1313.8</v>
      </c>
      <c r="AG36" s="4" t="s">
        <v>100</v>
      </c>
      <c r="AH36" s="4">
        <f t="shared" si="30"/>
        <v>67666.100000000006</v>
      </c>
      <c r="AI36" s="6" t="s">
        <v>102</v>
      </c>
      <c r="AM36" s="28"/>
      <c r="AN36" s="28"/>
      <c r="AP36" s="28"/>
      <c r="AQ36" s="28"/>
      <c r="AS36" s="28"/>
      <c r="AT36" s="28"/>
      <c r="AV36" s="28"/>
      <c r="AW36" s="28"/>
    </row>
    <row r="37" spans="1:49">
      <c r="A37" s="4">
        <f t="shared" si="0"/>
        <v>241551.04</v>
      </c>
      <c r="B37" s="4" t="s">
        <v>37</v>
      </c>
      <c r="C37" s="4" t="s">
        <v>100</v>
      </c>
      <c r="D37" s="4">
        <f t="shared" si="1"/>
        <v>241551.04</v>
      </c>
      <c r="E37" s="4" t="s">
        <v>100</v>
      </c>
      <c r="F37" s="4">
        <f t="shared" si="2"/>
        <v>241605.58</v>
      </c>
      <c r="G37" s="4" t="s">
        <v>100</v>
      </c>
      <c r="H37" s="4">
        <f t="shared" si="17"/>
        <v>1094.73</v>
      </c>
      <c r="I37" s="4" t="s">
        <v>100</v>
      </c>
      <c r="J37" s="4">
        <f t="shared" si="18"/>
        <v>241567.5</v>
      </c>
      <c r="K37" s="4" t="s">
        <v>100</v>
      </c>
      <c r="L37" s="4">
        <f t="shared" si="19"/>
        <v>242378.5</v>
      </c>
      <c r="M37" s="4" t="s">
        <v>100</v>
      </c>
      <c r="N37" s="4">
        <f t="shared" si="20"/>
        <v>242460.35</v>
      </c>
      <c r="O37" s="4" t="s">
        <v>100</v>
      </c>
      <c r="P37" s="4">
        <f t="shared" si="21"/>
        <v>1083.8800000000001</v>
      </c>
      <c r="Q37" s="4" t="s">
        <v>100</v>
      </c>
      <c r="R37" s="4">
        <f t="shared" si="22"/>
        <v>242363.6</v>
      </c>
      <c r="S37" s="4" t="s">
        <v>100</v>
      </c>
      <c r="T37" s="4">
        <f t="shared" si="23"/>
        <v>241556</v>
      </c>
      <c r="U37" s="4" t="s">
        <v>100</v>
      </c>
      <c r="V37" s="4">
        <f t="shared" si="24"/>
        <v>241628.73</v>
      </c>
      <c r="W37" s="4" t="s">
        <v>100</v>
      </c>
      <c r="X37" s="4">
        <f t="shared" si="25"/>
        <v>1427.53</v>
      </c>
      <c r="Y37" s="4" t="s">
        <v>100</v>
      </c>
      <c r="Z37" s="4">
        <f t="shared" si="26"/>
        <v>241570.1</v>
      </c>
      <c r="AA37" s="4" t="s">
        <v>100</v>
      </c>
      <c r="AB37" s="4">
        <f t="shared" si="27"/>
        <v>241578.8</v>
      </c>
      <c r="AC37" s="4" t="s">
        <v>100</v>
      </c>
      <c r="AD37" s="4">
        <f t="shared" si="28"/>
        <v>241675.15</v>
      </c>
      <c r="AE37" s="4" t="s">
        <v>100</v>
      </c>
      <c r="AF37" s="4">
        <f t="shared" si="29"/>
        <v>1404.74</v>
      </c>
      <c r="AG37" s="4" t="s">
        <v>100</v>
      </c>
      <c r="AH37" s="4">
        <f t="shared" si="30"/>
        <v>241592.1</v>
      </c>
      <c r="AI37" s="6" t="s">
        <v>102</v>
      </c>
    </row>
    <row r="38" spans="1:49">
      <c r="A38" s="4">
        <f t="shared" si="0"/>
        <v>114511.99</v>
      </c>
      <c r="B38" s="4" t="s">
        <v>38</v>
      </c>
      <c r="C38" s="4" t="s">
        <v>100</v>
      </c>
      <c r="D38" s="4">
        <f t="shared" si="1"/>
        <v>114511.99</v>
      </c>
      <c r="E38" s="4" t="s">
        <v>100</v>
      </c>
      <c r="F38" s="4">
        <f t="shared" si="2"/>
        <v>114671.09</v>
      </c>
      <c r="G38" s="4" t="s">
        <v>100</v>
      </c>
      <c r="H38" s="4">
        <f t="shared" si="17"/>
        <v>1505.15</v>
      </c>
      <c r="I38" s="4" t="s">
        <v>100</v>
      </c>
      <c r="J38" s="4">
        <f t="shared" si="18"/>
        <v>114496.9</v>
      </c>
      <c r="K38" s="4" t="s">
        <v>100</v>
      </c>
      <c r="L38" s="4">
        <f t="shared" si="19"/>
        <v>116520.1</v>
      </c>
      <c r="M38" s="4" t="s">
        <v>100</v>
      </c>
      <c r="N38" s="4">
        <f t="shared" si="20"/>
        <v>116942.98</v>
      </c>
      <c r="O38" s="4" t="s">
        <v>100</v>
      </c>
      <c r="P38" s="4">
        <f t="shared" si="21"/>
        <v>1157.7</v>
      </c>
      <c r="Q38" s="4" t="s">
        <v>100</v>
      </c>
      <c r="R38" s="4">
        <f t="shared" si="22"/>
        <v>116547.9</v>
      </c>
      <c r="S38" s="4" t="s">
        <v>100</v>
      </c>
      <c r="T38" s="4">
        <f t="shared" si="23"/>
        <v>114696.2</v>
      </c>
      <c r="U38" s="4" t="s">
        <v>100</v>
      </c>
      <c r="V38" s="4">
        <f t="shared" si="24"/>
        <v>115009.65</v>
      </c>
      <c r="W38" s="4" t="s">
        <v>100</v>
      </c>
      <c r="X38" s="4">
        <f t="shared" si="25"/>
        <v>1495.34</v>
      </c>
      <c r="Y38" s="4" t="s">
        <v>100</v>
      </c>
      <c r="Z38" s="4">
        <f t="shared" si="26"/>
        <v>114694.1</v>
      </c>
      <c r="AA38" s="4" t="s">
        <v>100</v>
      </c>
      <c r="AB38" s="4">
        <f t="shared" si="27"/>
        <v>114884.7</v>
      </c>
      <c r="AC38" s="4" t="s">
        <v>100</v>
      </c>
      <c r="AD38" s="4">
        <f t="shared" si="28"/>
        <v>115286.18</v>
      </c>
      <c r="AE38" s="4" t="s">
        <v>100</v>
      </c>
      <c r="AF38" s="4">
        <f t="shared" si="29"/>
        <v>1588.61</v>
      </c>
      <c r="AG38" s="4" t="s">
        <v>100</v>
      </c>
      <c r="AH38" s="4">
        <f t="shared" si="30"/>
        <v>114875.6</v>
      </c>
      <c r="AI38" s="6" t="s">
        <v>102</v>
      </c>
    </row>
    <row r="39" spans="1:49">
      <c r="A39" s="4">
        <f t="shared" si="0"/>
        <v>241918.34</v>
      </c>
      <c r="B39" s="4" t="s">
        <v>39</v>
      </c>
      <c r="C39" s="4" t="s">
        <v>100</v>
      </c>
      <c r="D39" s="4">
        <f t="shared" si="1"/>
        <v>241918.34</v>
      </c>
      <c r="E39" s="4" t="s">
        <v>100</v>
      </c>
      <c r="F39" s="4">
        <f t="shared" si="2"/>
        <v>241992.26</v>
      </c>
      <c r="G39" s="4" t="s">
        <v>100</v>
      </c>
      <c r="H39" s="4">
        <f t="shared" si="17"/>
        <v>1234.6099999999999</v>
      </c>
      <c r="I39" s="4" t="s">
        <v>100</v>
      </c>
      <c r="J39" s="4">
        <f t="shared" si="18"/>
        <v>241922.1</v>
      </c>
      <c r="K39" s="4" t="s">
        <v>100</v>
      </c>
      <c r="L39" s="4">
        <f t="shared" si="19"/>
        <v>243397.4</v>
      </c>
      <c r="M39" s="4" t="s">
        <v>100</v>
      </c>
      <c r="N39" s="4">
        <f t="shared" si="20"/>
        <v>243497.76</v>
      </c>
      <c r="O39" s="4" t="s">
        <v>100</v>
      </c>
      <c r="P39" s="4">
        <f t="shared" si="21"/>
        <v>929.23</v>
      </c>
      <c r="Q39" s="4" t="s">
        <v>100</v>
      </c>
      <c r="R39" s="4">
        <f t="shared" si="22"/>
        <v>243407.9</v>
      </c>
      <c r="S39" s="4" t="s">
        <v>100</v>
      </c>
      <c r="T39" s="4">
        <f t="shared" si="23"/>
        <v>242009.2</v>
      </c>
      <c r="U39" s="4" t="s">
        <v>100</v>
      </c>
      <c r="V39" s="4">
        <f t="shared" si="24"/>
        <v>242101.59</v>
      </c>
      <c r="W39" s="4" t="s">
        <v>100</v>
      </c>
      <c r="X39" s="4">
        <f t="shared" si="25"/>
        <v>1437.79</v>
      </c>
      <c r="Y39" s="4" t="s">
        <v>100</v>
      </c>
      <c r="Z39" s="4">
        <f t="shared" si="26"/>
        <v>242019.8</v>
      </c>
      <c r="AA39" s="4" t="s">
        <v>100</v>
      </c>
      <c r="AB39" s="4">
        <f t="shared" si="27"/>
        <v>242076.2</v>
      </c>
      <c r="AC39" s="4" t="s">
        <v>100</v>
      </c>
      <c r="AD39" s="4">
        <f t="shared" si="28"/>
        <v>242189.03</v>
      </c>
      <c r="AE39" s="4" t="s">
        <v>100</v>
      </c>
      <c r="AF39" s="4">
        <f t="shared" si="29"/>
        <v>1435.96</v>
      </c>
      <c r="AG39" s="4" t="s">
        <v>100</v>
      </c>
      <c r="AH39" s="4">
        <f t="shared" si="30"/>
        <v>242079.8</v>
      </c>
      <c r="AI39" s="6" t="s">
        <v>102</v>
      </c>
    </row>
    <row r="40" spans="1:49">
      <c r="A40" s="4">
        <f t="shared" si="0"/>
        <v>195827.52</v>
      </c>
      <c r="B40" s="4" t="s">
        <v>40</v>
      </c>
      <c r="C40" s="4" t="s">
        <v>100</v>
      </c>
      <c r="D40" s="4">
        <f t="shared" si="1"/>
        <v>195827.52</v>
      </c>
      <c r="E40" s="4" t="s">
        <v>100</v>
      </c>
      <c r="F40" s="4">
        <f t="shared" si="2"/>
        <v>196148.55</v>
      </c>
      <c r="G40" s="4" t="s">
        <v>100</v>
      </c>
      <c r="H40" s="4">
        <f t="shared" si="17"/>
        <v>1159.56</v>
      </c>
      <c r="I40" s="4" t="s">
        <v>100</v>
      </c>
      <c r="J40" s="4">
        <f t="shared" si="18"/>
        <v>195835.5</v>
      </c>
      <c r="K40" s="4" t="s">
        <v>100</v>
      </c>
      <c r="L40" s="4">
        <f t="shared" si="19"/>
        <v>198071.8</v>
      </c>
      <c r="M40" s="4" t="s">
        <v>100</v>
      </c>
      <c r="N40" s="4">
        <f t="shared" si="20"/>
        <v>198211.68</v>
      </c>
      <c r="O40" s="4" t="s">
        <v>100</v>
      </c>
      <c r="P40" s="4">
        <f t="shared" si="21"/>
        <v>1174.17</v>
      </c>
      <c r="Q40" s="4" t="s">
        <v>100</v>
      </c>
      <c r="R40" s="4">
        <f t="shared" si="22"/>
        <v>198065.7</v>
      </c>
      <c r="S40" s="4" t="s">
        <v>100</v>
      </c>
      <c r="T40" s="4">
        <f t="shared" si="23"/>
        <v>196226.1</v>
      </c>
      <c r="U40" s="4" t="s">
        <v>100</v>
      </c>
      <c r="V40" s="4">
        <f t="shared" si="24"/>
        <v>196464.25</v>
      </c>
      <c r="W40" s="4" t="s">
        <v>100</v>
      </c>
      <c r="X40" s="4">
        <f t="shared" si="25"/>
        <v>1627.26</v>
      </c>
      <c r="Y40" s="4" t="s">
        <v>100</v>
      </c>
      <c r="Z40" s="4">
        <f t="shared" si="26"/>
        <v>196259.7</v>
      </c>
      <c r="AA40" s="4" t="s">
        <v>100</v>
      </c>
      <c r="AB40" s="4">
        <f t="shared" si="27"/>
        <v>196378.8</v>
      </c>
      <c r="AC40" s="4" t="s">
        <v>100</v>
      </c>
      <c r="AD40" s="4">
        <f t="shared" si="28"/>
        <v>196556.91</v>
      </c>
      <c r="AE40" s="4" t="s">
        <v>100</v>
      </c>
      <c r="AF40" s="4">
        <f t="shared" si="29"/>
        <v>1560.94</v>
      </c>
      <c r="AG40" s="4" t="s">
        <v>100</v>
      </c>
      <c r="AH40" s="4">
        <f t="shared" si="30"/>
        <v>196401.9</v>
      </c>
      <c r="AI40" s="6" t="s">
        <v>102</v>
      </c>
    </row>
    <row r="41" spans="1:49">
      <c r="A41" s="4">
        <f t="shared" si="0"/>
        <v>194666.04</v>
      </c>
      <c r="B41" s="4" t="s">
        <v>41</v>
      </c>
      <c r="C41" s="4" t="s">
        <v>100</v>
      </c>
      <c r="D41" s="4">
        <f t="shared" si="1"/>
        <v>194666.04</v>
      </c>
      <c r="E41" s="4" t="s">
        <v>100</v>
      </c>
      <c r="F41" s="4">
        <f t="shared" si="2"/>
        <v>194897.27</v>
      </c>
      <c r="G41" s="4" t="s">
        <v>100</v>
      </c>
      <c r="H41" s="4">
        <f t="shared" si="17"/>
        <v>1560.59</v>
      </c>
      <c r="I41" s="4" t="s">
        <v>100</v>
      </c>
      <c r="J41" s="4">
        <f t="shared" si="18"/>
        <v>194757.9</v>
      </c>
      <c r="K41" s="4" t="s">
        <v>100</v>
      </c>
      <c r="L41" s="4">
        <f t="shared" si="19"/>
        <v>196919.7</v>
      </c>
      <c r="M41" s="4" t="s">
        <v>100</v>
      </c>
      <c r="N41" s="4">
        <f t="shared" si="20"/>
        <v>197438.6</v>
      </c>
      <c r="O41" s="4" t="s">
        <v>100</v>
      </c>
      <c r="P41" s="4">
        <f t="shared" si="21"/>
        <v>1292.71</v>
      </c>
      <c r="Q41" s="4" t="s">
        <v>100</v>
      </c>
      <c r="R41" s="4">
        <f t="shared" si="22"/>
        <v>197075.4</v>
      </c>
      <c r="S41" s="4" t="s">
        <v>100</v>
      </c>
      <c r="T41" s="4">
        <f t="shared" si="23"/>
        <v>195332.3</v>
      </c>
      <c r="U41" s="4" t="s">
        <v>100</v>
      </c>
      <c r="V41" s="4">
        <f t="shared" si="24"/>
        <v>195612.52</v>
      </c>
      <c r="W41" s="4" t="s">
        <v>100</v>
      </c>
      <c r="X41" s="4">
        <f t="shared" si="25"/>
        <v>1526.32</v>
      </c>
      <c r="Y41" s="4" t="s">
        <v>100</v>
      </c>
      <c r="Z41" s="4">
        <f t="shared" si="26"/>
        <v>195457</v>
      </c>
      <c r="AA41" s="4" t="s">
        <v>100</v>
      </c>
      <c r="AB41" s="4">
        <f t="shared" si="27"/>
        <v>195332.3</v>
      </c>
      <c r="AC41" s="4" t="s">
        <v>100</v>
      </c>
      <c r="AD41" s="4">
        <f t="shared" si="28"/>
        <v>195756.72</v>
      </c>
      <c r="AE41" s="4" t="s">
        <v>100</v>
      </c>
      <c r="AF41" s="4">
        <f t="shared" si="29"/>
        <v>1448.87</v>
      </c>
      <c r="AG41" s="4" t="s">
        <v>100</v>
      </c>
      <c r="AH41" s="4">
        <f t="shared" si="30"/>
        <v>195457</v>
      </c>
      <c r="AI41" s="6" t="s">
        <v>102</v>
      </c>
    </row>
    <row r="42" spans="1:49">
      <c r="A42" s="4">
        <f t="shared" si="0"/>
        <v>201236.17</v>
      </c>
      <c r="B42" s="4" t="s">
        <v>42</v>
      </c>
      <c r="C42" s="4" t="s">
        <v>100</v>
      </c>
      <c r="D42" s="4">
        <f t="shared" si="1"/>
        <v>201236.17</v>
      </c>
      <c r="E42" s="4" t="s">
        <v>100</v>
      </c>
      <c r="F42" s="4">
        <f t="shared" si="2"/>
        <v>201479.97</v>
      </c>
      <c r="G42" s="4" t="s">
        <v>100</v>
      </c>
      <c r="H42" s="4">
        <f t="shared" si="17"/>
        <v>1418.54</v>
      </c>
      <c r="I42" s="4" t="s">
        <v>100</v>
      </c>
      <c r="J42" s="4">
        <f t="shared" si="18"/>
        <v>201248.1</v>
      </c>
      <c r="K42" s="4" t="s">
        <v>100</v>
      </c>
      <c r="L42" s="4">
        <f t="shared" si="19"/>
        <v>203131</v>
      </c>
      <c r="M42" s="4" t="s">
        <v>100</v>
      </c>
      <c r="N42" s="4">
        <f t="shared" si="20"/>
        <v>203481.51</v>
      </c>
      <c r="O42" s="4" t="s">
        <v>100</v>
      </c>
      <c r="P42" s="4">
        <f t="shared" si="21"/>
        <v>1383.29</v>
      </c>
      <c r="Q42" s="4" t="s">
        <v>100</v>
      </c>
      <c r="R42" s="4">
        <f t="shared" si="22"/>
        <v>203169.7</v>
      </c>
      <c r="S42" s="4" t="s">
        <v>100</v>
      </c>
      <c r="T42" s="4">
        <f t="shared" si="23"/>
        <v>201388.79999999999</v>
      </c>
      <c r="U42" s="4" t="s">
        <v>100</v>
      </c>
      <c r="V42" s="4">
        <f t="shared" si="24"/>
        <v>202052.54</v>
      </c>
      <c r="W42" s="4" t="s">
        <v>100</v>
      </c>
      <c r="X42" s="4">
        <f t="shared" si="25"/>
        <v>1402.17</v>
      </c>
      <c r="Y42" s="4" t="s">
        <v>100</v>
      </c>
      <c r="Z42" s="4">
        <f t="shared" si="26"/>
        <v>201382.6</v>
      </c>
      <c r="AA42" s="4" t="s">
        <v>100</v>
      </c>
      <c r="AB42" s="4">
        <f t="shared" si="27"/>
        <v>201825.1</v>
      </c>
      <c r="AC42" s="4" t="s">
        <v>100</v>
      </c>
      <c r="AD42" s="4">
        <f t="shared" si="28"/>
        <v>202415.04</v>
      </c>
      <c r="AE42" s="4" t="s">
        <v>100</v>
      </c>
      <c r="AF42" s="4">
        <f t="shared" si="29"/>
        <v>1259.1400000000001</v>
      </c>
      <c r="AG42" s="4" t="s">
        <v>100</v>
      </c>
      <c r="AH42" s="4">
        <f t="shared" si="30"/>
        <v>201837.1</v>
      </c>
      <c r="AI42" s="6" t="s">
        <v>102</v>
      </c>
    </row>
    <row r="43" spans="1:49">
      <c r="A43" s="4">
        <f t="shared" si="0"/>
        <v>305978.94</v>
      </c>
      <c r="B43" s="4" t="s">
        <v>43</v>
      </c>
      <c r="C43" s="4" t="s">
        <v>100</v>
      </c>
      <c r="D43" s="4">
        <f t="shared" si="1"/>
        <v>305978.94</v>
      </c>
      <c r="E43" s="4" t="s">
        <v>100</v>
      </c>
      <c r="F43" s="4">
        <f t="shared" si="2"/>
        <v>306277.37</v>
      </c>
      <c r="G43" s="4" t="s">
        <v>100</v>
      </c>
      <c r="H43" s="4">
        <f t="shared" si="17"/>
        <v>1495.4</v>
      </c>
      <c r="I43" s="4" t="s">
        <v>100</v>
      </c>
      <c r="J43" s="4">
        <f t="shared" si="18"/>
        <v>305946.90000000002</v>
      </c>
      <c r="K43" s="4" t="s">
        <v>100</v>
      </c>
      <c r="L43" s="4">
        <f t="shared" si="19"/>
        <v>308568</v>
      </c>
      <c r="M43" s="4" t="s">
        <v>100</v>
      </c>
      <c r="N43" s="4">
        <f t="shared" si="20"/>
        <v>309012.45</v>
      </c>
      <c r="O43" s="4" t="s">
        <v>100</v>
      </c>
      <c r="P43" s="4">
        <f t="shared" si="21"/>
        <v>1450.41</v>
      </c>
      <c r="Q43" s="4" t="s">
        <v>100</v>
      </c>
      <c r="R43" s="4">
        <f t="shared" si="22"/>
        <v>308539.3</v>
      </c>
      <c r="S43" s="4" t="s">
        <v>100</v>
      </c>
      <c r="T43" s="4">
        <f t="shared" si="23"/>
        <v>306921.5</v>
      </c>
      <c r="U43" s="4" t="s">
        <v>100</v>
      </c>
      <c r="V43" s="4">
        <f t="shared" si="24"/>
        <v>307200.46000000002</v>
      </c>
      <c r="W43" s="4" t="s">
        <v>100</v>
      </c>
      <c r="X43" s="4">
        <f t="shared" si="25"/>
        <v>1693.22</v>
      </c>
      <c r="Y43" s="4" t="s">
        <v>100</v>
      </c>
      <c r="Z43" s="4">
        <f t="shared" si="26"/>
        <v>306883.09999999998</v>
      </c>
      <c r="AA43" s="4" t="s">
        <v>100</v>
      </c>
      <c r="AB43" s="4">
        <f t="shared" si="27"/>
        <v>307007.90000000002</v>
      </c>
      <c r="AC43" s="4" t="s">
        <v>100</v>
      </c>
      <c r="AD43" s="4">
        <f t="shared" si="28"/>
        <v>307398.76</v>
      </c>
      <c r="AE43" s="4" t="s">
        <v>100</v>
      </c>
      <c r="AF43" s="4">
        <f t="shared" si="29"/>
        <v>1420.83</v>
      </c>
      <c r="AG43" s="4" t="s">
        <v>100</v>
      </c>
      <c r="AH43" s="4">
        <f t="shared" si="30"/>
        <v>306966.90000000002</v>
      </c>
      <c r="AI43" s="6" t="s">
        <v>102</v>
      </c>
    </row>
    <row r="44" spans="1:49">
      <c r="A44" s="4">
        <f t="shared" si="0"/>
        <v>268297.15000000002</v>
      </c>
      <c r="B44" s="4" t="s">
        <v>44</v>
      </c>
      <c r="C44" s="4" t="s">
        <v>100</v>
      </c>
      <c r="D44" s="4">
        <f t="shared" si="1"/>
        <v>268297.15000000002</v>
      </c>
      <c r="E44" s="4" t="s">
        <v>100</v>
      </c>
      <c r="F44" s="4">
        <f t="shared" si="2"/>
        <v>268486.71000000002</v>
      </c>
      <c r="G44" s="4" t="s">
        <v>100</v>
      </c>
      <c r="H44" s="4">
        <f t="shared" si="17"/>
        <v>1498.86</v>
      </c>
      <c r="I44" s="4" t="s">
        <v>100</v>
      </c>
      <c r="J44" s="4">
        <f t="shared" si="18"/>
        <v>268304.2</v>
      </c>
      <c r="K44" s="4" t="s">
        <v>100</v>
      </c>
      <c r="L44" s="4">
        <f t="shared" si="19"/>
        <v>271592.2</v>
      </c>
      <c r="M44" s="4" t="s">
        <v>100</v>
      </c>
      <c r="N44" s="4">
        <f t="shared" si="20"/>
        <v>272157.46999999997</v>
      </c>
      <c r="O44" s="4" t="s">
        <v>100</v>
      </c>
      <c r="P44" s="4">
        <f t="shared" si="21"/>
        <v>1467.55</v>
      </c>
      <c r="Q44" s="4" t="s">
        <v>100</v>
      </c>
      <c r="R44" s="4">
        <f t="shared" si="22"/>
        <v>271634</v>
      </c>
      <c r="S44" s="4" t="s">
        <v>100</v>
      </c>
      <c r="T44" s="4">
        <f t="shared" si="23"/>
        <v>268679.7</v>
      </c>
      <c r="U44" s="4" t="s">
        <v>100</v>
      </c>
      <c r="V44" s="4">
        <f t="shared" si="24"/>
        <v>269094.78999999998</v>
      </c>
      <c r="W44" s="4" t="s">
        <v>100</v>
      </c>
      <c r="X44" s="4">
        <f t="shared" si="25"/>
        <v>1401.46</v>
      </c>
      <c r="Y44" s="4" t="s">
        <v>100</v>
      </c>
      <c r="Z44" s="4">
        <f t="shared" si="26"/>
        <v>268652.3</v>
      </c>
      <c r="AA44" s="4" t="s">
        <v>100</v>
      </c>
      <c r="AB44" s="4">
        <f t="shared" si="27"/>
        <v>269187.09999999998</v>
      </c>
      <c r="AC44" s="4" t="s">
        <v>100</v>
      </c>
      <c r="AD44" s="4">
        <f t="shared" si="28"/>
        <v>269704.23</v>
      </c>
      <c r="AE44" s="4" t="s">
        <v>100</v>
      </c>
      <c r="AF44" s="4">
        <f t="shared" si="29"/>
        <v>1551.98</v>
      </c>
      <c r="AG44" s="4" t="s">
        <v>100</v>
      </c>
      <c r="AH44" s="4">
        <f t="shared" si="30"/>
        <v>269166.2</v>
      </c>
      <c r="AI44" s="6" t="s">
        <v>102</v>
      </c>
    </row>
    <row r="45" spans="1:49">
      <c r="A45" s="4">
        <f t="shared" si="0"/>
        <v>347541.02</v>
      </c>
      <c r="B45" s="4" t="s">
        <v>45</v>
      </c>
      <c r="C45" s="4" t="s">
        <v>100</v>
      </c>
      <c r="D45" s="4">
        <f t="shared" si="1"/>
        <v>347541.02</v>
      </c>
      <c r="E45" s="4" t="s">
        <v>100</v>
      </c>
      <c r="F45" s="4">
        <f t="shared" si="2"/>
        <v>347726.14</v>
      </c>
      <c r="G45" s="4" t="s">
        <v>100</v>
      </c>
      <c r="H45" s="4">
        <f t="shared" si="17"/>
        <v>1550.98</v>
      </c>
      <c r="I45" s="4" t="s">
        <v>100</v>
      </c>
      <c r="J45" s="4">
        <f t="shared" si="18"/>
        <v>347537.3</v>
      </c>
      <c r="K45" s="4" t="s">
        <v>100</v>
      </c>
      <c r="L45" s="4">
        <f t="shared" si="19"/>
        <v>350919.6</v>
      </c>
      <c r="M45" s="4" t="s">
        <v>100</v>
      </c>
      <c r="N45" s="4">
        <f t="shared" si="20"/>
        <v>351400.34</v>
      </c>
      <c r="O45" s="4" t="s">
        <v>100</v>
      </c>
      <c r="P45" s="4">
        <f t="shared" si="21"/>
        <v>1568.53</v>
      </c>
      <c r="Q45" s="4" t="s">
        <v>100</v>
      </c>
      <c r="R45" s="4">
        <f t="shared" si="22"/>
        <v>350929.3</v>
      </c>
      <c r="S45" s="4" t="s">
        <v>100</v>
      </c>
      <c r="T45" s="4">
        <f t="shared" si="23"/>
        <v>348585.6</v>
      </c>
      <c r="U45" s="4" t="s">
        <v>100</v>
      </c>
      <c r="V45" s="4">
        <f t="shared" si="24"/>
        <v>349070.59</v>
      </c>
      <c r="W45" s="4" t="s">
        <v>100</v>
      </c>
      <c r="X45" s="4">
        <f t="shared" si="25"/>
        <v>1351.55</v>
      </c>
      <c r="Y45" s="4" t="s">
        <v>100</v>
      </c>
      <c r="Z45" s="4">
        <f t="shared" si="26"/>
        <v>348577.1</v>
      </c>
      <c r="AA45" s="4" t="s">
        <v>100</v>
      </c>
      <c r="AB45" s="4">
        <f t="shared" si="27"/>
        <v>349022.7</v>
      </c>
      <c r="AC45" s="4" t="s">
        <v>100</v>
      </c>
      <c r="AD45" s="4">
        <f t="shared" si="28"/>
        <v>349565.61</v>
      </c>
      <c r="AE45" s="4" t="s">
        <v>100</v>
      </c>
      <c r="AF45" s="4">
        <f t="shared" si="29"/>
        <v>1383.76</v>
      </c>
      <c r="AG45" s="4" t="s">
        <v>100</v>
      </c>
      <c r="AH45" s="4">
        <f t="shared" si="30"/>
        <v>349018.5</v>
      </c>
      <c r="AI45" s="6" t="s">
        <v>102</v>
      </c>
    </row>
    <row r="46" spans="1:49">
      <c r="A46" s="4">
        <f t="shared" si="0"/>
        <v>362918.37</v>
      </c>
      <c r="B46" s="4" t="s">
        <v>46</v>
      </c>
      <c r="C46" s="4" t="s">
        <v>100</v>
      </c>
      <c r="D46" s="4">
        <f t="shared" si="1"/>
        <v>362918.37</v>
      </c>
      <c r="E46" s="4" t="s">
        <v>100</v>
      </c>
      <c r="F46" s="4">
        <f t="shared" si="2"/>
        <v>363447.92</v>
      </c>
      <c r="G46" s="4" t="s">
        <v>100</v>
      </c>
      <c r="H46" s="4">
        <f t="shared" si="17"/>
        <v>1524.87</v>
      </c>
      <c r="I46" s="4" t="s">
        <v>100</v>
      </c>
      <c r="J46" s="4">
        <f t="shared" si="18"/>
        <v>362944.5</v>
      </c>
      <c r="K46" s="4" t="s">
        <v>100</v>
      </c>
      <c r="L46" s="4">
        <f t="shared" si="19"/>
        <v>367599.4</v>
      </c>
      <c r="M46" s="4" t="s">
        <v>100</v>
      </c>
      <c r="N46" s="4">
        <f t="shared" si="20"/>
        <v>368369.74</v>
      </c>
      <c r="O46" s="4" t="s">
        <v>100</v>
      </c>
      <c r="P46" s="4">
        <f t="shared" si="21"/>
        <v>1477.63</v>
      </c>
      <c r="Q46" s="4" t="s">
        <v>100</v>
      </c>
      <c r="R46" s="4">
        <f t="shared" si="22"/>
        <v>367731.1</v>
      </c>
      <c r="S46" s="4" t="s">
        <v>100</v>
      </c>
      <c r="T46" s="4">
        <f t="shared" si="23"/>
        <v>364652.3</v>
      </c>
      <c r="U46" s="4" t="s">
        <v>100</v>
      </c>
      <c r="V46" s="4">
        <f t="shared" si="24"/>
        <v>365122.85</v>
      </c>
      <c r="W46" s="4" t="s">
        <v>100</v>
      </c>
      <c r="X46" s="4">
        <f t="shared" si="25"/>
        <v>1348.24</v>
      </c>
      <c r="Y46" s="4" t="s">
        <v>100</v>
      </c>
      <c r="Z46" s="4">
        <f t="shared" si="26"/>
        <v>364685.7</v>
      </c>
      <c r="AA46" s="4" t="s">
        <v>100</v>
      </c>
      <c r="AB46" s="4">
        <f t="shared" si="27"/>
        <v>365264.9</v>
      </c>
      <c r="AC46" s="4" t="s">
        <v>100</v>
      </c>
      <c r="AD46" s="4">
        <f t="shared" si="28"/>
        <v>365723.04</v>
      </c>
      <c r="AE46" s="4" t="s">
        <v>100</v>
      </c>
      <c r="AF46" s="4">
        <f t="shared" si="29"/>
        <v>1234.6600000000001</v>
      </c>
      <c r="AG46" s="4" t="s">
        <v>100</v>
      </c>
      <c r="AH46" s="4">
        <f t="shared" si="30"/>
        <v>365307.5</v>
      </c>
      <c r="AI46" s="6" t="s">
        <v>102</v>
      </c>
    </row>
    <row r="47" spans="1:49">
      <c r="A47" s="4">
        <f t="shared" si="0"/>
        <v>831909.25</v>
      </c>
      <c r="B47" s="4" t="s">
        <v>47</v>
      </c>
      <c r="C47" s="4" t="s">
        <v>100</v>
      </c>
      <c r="D47" s="4">
        <f t="shared" si="1"/>
        <v>831909.25</v>
      </c>
      <c r="E47" s="4" t="s">
        <v>100</v>
      </c>
      <c r="F47" s="4">
        <f t="shared" si="2"/>
        <v>832832.34</v>
      </c>
      <c r="G47" s="4" t="s">
        <v>100</v>
      </c>
      <c r="H47" s="4">
        <f t="shared" si="17"/>
        <v>1634.2</v>
      </c>
      <c r="I47" s="4" t="s">
        <v>100</v>
      </c>
      <c r="J47" s="4">
        <f t="shared" si="18"/>
        <v>831868.7</v>
      </c>
      <c r="K47" s="4" t="s">
        <v>100</v>
      </c>
      <c r="L47" s="4">
        <f t="shared" si="19"/>
        <v>837326.8</v>
      </c>
      <c r="M47" s="4" t="s">
        <v>100</v>
      </c>
      <c r="N47" s="4">
        <f t="shared" si="20"/>
        <v>837701.46</v>
      </c>
      <c r="O47" s="4" t="s">
        <v>100</v>
      </c>
      <c r="P47" s="4">
        <f t="shared" si="21"/>
        <v>1432.74</v>
      </c>
      <c r="Q47" s="4" t="s">
        <v>100</v>
      </c>
      <c r="R47" s="4">
        <f t="shared" si="22"/>
        <v>837337.5</v>
      </c>
      <c r="S47" s="4" t="s">
        <v>100</v>
      </c>
      <c r="T47" s="4">
        <f t="shared" si="23"/>
        <v>834484.9</v>
      </c>
      <c r="U47" s="4" t="s">
        <v>100</v>
      </c>
      <c r="V47" s="4">
        <f t="shared" si="24"/>
        <v>834921.38</v>
      </c>
      <c r="W47" s="4" t="s">
        <v>100</v>
      </c>
      <c r="X47" s="4">
        <f t="shared" si="25"/>
        <v>960.38</v>
      </c>
      <c r="Y47" s="4" t="s">
        <v>100</v>
      </c>
      <c r="Z47" s="4">
        <f t="shared" si="26"/>
        <v>834526.2</v>
      </c>
      <c r="AA47" s="4" t="s">
        <v>100</v>
      </c>
      <c r="AB47" s="4">
        <f t="shared" si="27"/>
        <v>834781.3</v>
      </c>
      <c r="AC47" s="4" t="s">
        <v>100</v>
      </c>
      <c r="AD47" s="4">
        <f t="shared" si="28"/>
        <v>835140.59</v>
      </c>
      <c r="AE47" s="4" t="s">
        <v>100</v>
      </c>
      <c r="AF47" s="4">
        <f t="shared" si="29"/>
        <v>1083.29</v>
      </c>
      <c r="AG47" s="4" t="s">
        <v>100</v>
      </c>
      <c r="AH47" s="4">
        <f t="shared" si="30"/>
        <v>834841.1</v>
      </c>
      <c r="AI47" s="6" t="s">
        <v>102</v>
      </c>
    </row>
    <row r="48" spans="1:49">
      <c r="A48" s="4">
        <f t="shared" si="0"/>
        <v>525307.88</v>
      </c>
      <c r="B48" s="4" t="s">
        <v>48</v>
      </c>
      <c r="C48" s="4" t="s">
        <v>100</v>
      </c>
      <c r="D48" s="4">
        <f t="shared" si="1"/>
        <v>525307.88</v>
      </c>
      <c r="E48" s="4" t="s">
        <v>100</v>
      </c>
      <c r="F48" s="4">
        <f t="shared" si="2"/>
        <v>526001.26</v>
      </c>
      <c r="G48" s="4" t="s">
        <v>100</v>
      </c>
      <c r="H48" s="4">
        <f t="shared" si="17"/>
        <v>1458.18</v>
      </c>
      <c r="I48" s="4" t="s">
        <v>100</v>
      </c>
      <c r="J48" s="4">
        <f t="shared" si="18"/>
        <v>525345.19999999995</v>
      </c>
      <c r="K48" s="4" t="s">
        <v>100</v>
      </c>
      <c r="L48" s="4">
        <f t="shared" si="19"/>
        <v>530497</v>
      </c>
      <c r="M48" s="4" t="s">
        <v>100</v>
      </c>
      <c r="N48" s="4">
        <f t="shared" si="20"/>
        <v>531500.18999999994</v>
      </c>
      <c r="O48" s="4" t="s">
        <v>100</v>
      </c>
      <c r="P48" s="4">
        <f t="shared" si="21"/>
        <v>1509.89</v>
      </c>
      <c r="Q48" s="4" t="s">
        <v>100</v>
      </c>
      <c r="R48" s="4">
        <f t="shared" si="22"/>
        <v>530572</v>
      </c>
      <c r="S48" s="4" t="s">
        <v>100</v>
      </c>
      <c r="T48" s="4">
        <f t="shared" si="23"/>
        <v>526954.1</v>
      </c>
      <c r="U48" s="4" t="s">
        <v>100</v>
      </c>
      <c r="V48" s="4">
        <f t="shared" si="24"/>
        <v>528372.5</v>
      </c>
      <c r="W48" s="4" t="s">
        <v>100</v>
      </c>
      <c r="X48" s="4">
        <f t="shared" si="25"/>
        <v>1482.39</v>
      </c>
      <c r="Y48" s="4" t="s">
        <v>100</v>
      </c>
      <c r="Z48" s="4">
        <f t="shared" si="26"/>
        <v>526969.4</v>
      </c>
      <c r="AA48" s="4" t="s">
        <v>100</v>
      </c>
      <c r="AB48" s="4">
        <f t="shared" si="27"/>
        <v>528601.59999999998</v>
      </c>
      <c r="AC48" s="4" t="s">
        <v>100</v>
      </c>
      <c r="AD48" s="4">
        <f t="shared" si="28"/>
        <v>529398.47</v>
      </c>
      <c r="AE48" s="4" t="s">
        <v>100</v>
      </c>
      <c r="AF48" s="4">
        <f t="shared" si="29"/>
        <v>1457.71</v>
      </c>
      <c r="AG48" s="4" t="s">
        <v>100</v>
      </c>
      <c r="AH48" s="4">
        <f t="shared" si="30"/>
        <v>528718.1</v>
      </c>
      <c r="AI48" s="6" t="s">
        <v>102</v>
      </c>
    </row>
    <row r="49" spans="1:35">
      <c r="A49" s="4">
        <f t="shared" si="0"/>
        <v>941062.9</v>
      </c>
      <c r="B49" s="4" t="s">
        <v>49</v>
      </c>
      <c r="C49" s="4" t="s">
        <v>100</v>
      </c>
      <c r="D49" s="4">
        <f t="shared" si="1"/>
        <v>941062.9</v>
      </c>
      <c r="E49" s="4" t="s">
        <v>100</v>
      </c>
      <c r="F49" s="4">
        <f t="shared" si="2"/>
        <v>942626.92</v>
      </c>
      <c r="G49" s="4" t="s">
        <v>100</v>
      </c>
      <c r="H49" s="4">
        <f t="shared" si="17"/>
        <v>1549.87</v>
      </c>
      <c r="I49" s="4" t="s">
        <v>100</v>
      </c>
      <c r="J49" s="4">
        <f t="shared" si="18"/>
        <v>941083</v>
      </c>
      <c r="K49" s="4" t="s">
        <v>100</v>
      </c>
      <c r="L49" s="4">
        <f t="shared" si="19"/>
        <v>947638</v>
      </c>
      <c r="M49" s="4" t="s">
        <v>100</v>
      </c>
      <c r="N49" s="4">
        <f t="shared" si="20"/>
        <v>949489.93</v>
      </c>
      <c r="O49" s="4" t="s">
        <v>100</v>
      </c>
      <c r="P49" s="4">
        <f t="shared" si="21"/>
        <v>1252.79</v>
      </c>
      <c r="Q49" s="4" t="s">
        <v>100</v>
      </c>
      <c r="R49" s="4">
        <f t="shared" si="22"/>
        <v>947501.1</v>
      </c>
      <c r="S49" s="4" t="s">
        <v>100</v>
      </c>
      <c r="T49" s="4">
        <f t="shared" si="23"/>
        <v>945186.4</v>
      </c>
      <c r="U49" s="4" t="s">
        <v>100</v>
      </c>
      <c r="V49" s="4">
        <f t="shared" si="24"/>
        <v>946507.62</v>
      </c>
      <c r="W49" s="4" t="s">
        <v>100</v>
      </c>
      <c r="X49" s="4">
        <f t="shared" si="25"/>
        <v>1698.84</v>
      </c>
      <c r="Y49" s="4" t="s">
        <v>100</v>
      </c>
      <c r="Z49" s="4">
        <f t="shared" si="26"/>
        <v>945161.8</v>
      </c>
      <c r="AA49" s="4" t="s">
        <v>100</v>
      </c>
      <c r="AB49" s="4">
        <f t="shared" si="27"/>
        <v>948450.8</v>
      </c>
      <c r="AC49" s="4" t="s">
        <v>100</v>
      </c>
      <c r="AD49" s="4">
        <f t="shared" si="28"/>
        <v>950365.54</v>
      </c>
      <c r="AE49" s="4" t="s">
        <v>100</v>
      </c>
      <c r="AF49" s="4">
        <f t="shared" si="29"/>
        <v>2112.1</v>
      </c>
      <c r="AG49" s="4" t="s">
        <v>100</v>
      </c>
      <c r="AH49" s="4">
        <f t="shared" si="30"/>
        <v>948426.4</v>
      </c>
      <c r="AI49" s="6" t="s">
        <v>102</v>
      </c>
    </row>
    <row r="50" spans="1:35">
      <c r="A50" s="4">
        <f t="shared" si="0"/>
        <v>854676.42</v>
      </c>
      <c r="B50" s="4" t="s">
        <v>50</v>
      </c>
      <c r="C50" s="4" t="s">
        <v>100</v>
      </c>
      <c r="D50" s="4">
        <f t="shared" si="1"/>
        <v>854676.42</v>
      </c>
      <c r="E50" s="4" t="s">
        <v>100</v>
      </c>
      <c r="F50" s="4">
        <f t="shared" si="2"/>
        <v>855992.45</v>
      </c>
      <c r="G50" s="4" t="s">
        <v>100</v>
      </c>
      <c r="H50" s="4">
        <f t="shared" si="17"/>
        <v>1270.8399999999999</v>
      </c>
      <c r="I50" s="4" t="s">
        <v>100</v>
      </c>
      <c r="J50" s="4">
        <f t="shared" si="18"/>
        <v>854579.7</v>
      </c>
      <c r="K50" s="4" t="s">
        <v>100</v>
      </c>
      <c r="L50" s="4">
        <f t="shared" si="19"/>
        <v>863732</v>
      </c>
      <c r="M50" s="4" t="s">
        <v>100</v>
      </c>
      <c r="N50" s="4">
        <f t="shared" si="20"/>
        <v>865412.77</v>
      </c>
      <c r="O50" s="4" t="s">
        <v>100</v>
      </c>
      <c r="P50" s="4">
        <f t="shared" si="21"/>
        <v>1261.69</v>
      </c>
      <c r="Q50" s="4" t="s">
        <v>100</v>
      </c>
      <c r="R50" s="4">
        <f t="shared" si="22"/>
        <v>863712.9</v>
      </c>
      <c r="S50" s="4" t="s">
        <v>100</v>
      </c>
      <c r="T50" s="4">
        <f t="shared" si="23"/>
        <v>859524.4</v>
      </c>
      <c r="U50" s="4" t="s">
        <v>100</v>
      </c>
      <c r="V50" s="4">
        <f t="shared" si="24"/>
        <v>861357.24</v>
      </c>
      <c r="W50" s="4" t="s">
        <v>100</v>
      </c>
      <c r="X50" s="4">
        <f t="shared" si="25"/>
        <v>1643.17</v>
      </c>
      <c r="Y50" s="4" t="s">
        <v>100</v>
      </c>
      <c r="Z50" s="4">
        <f t="shared" si="26"/>
        <v>859605.8</v>
      </c>
      <c r="AA50" s="4" t="s">
        <v>100</v>
      </c>
      <c r="AB50" s="4">
        <f t="shared" si="27"/>
        <v>862870.8</v>
      </c>
      <c r="AC50" s="4" t="s">
        <v>100</v>
      </c>
      <c r="AD50" s="4">
        <f t="shared" si="28"/>
        <v>868942.56</v>
      </c>
      <c r="AE50" s="4" t="s">
        <v>100</v>
      </c>
      <c r="AF50" s="4">
        <f t="shared" si="29"/>
        <v>2076.85</v>
      </c>
      <c r="AG50" s="4" t="s">
        <v>100</v>
      </c>
      <c r="AH50" s="4">
        <f t="shared" si="30"/>
        <v>862824.6</v>
      </c>
      <c r="AI50" s="6" t="s">
        <v>102</v>
      </c>
    </row>
    <row r="51" spans="1:35">
      <c r="A51" s="4">
        <f t="shared" si="0"/>
        <v>1821242.07</v>
      </c>
      <c r="B51" s="4" t="s">
        <v>51</v>
      </c>
      <c r="C51" s="4" t="s">
        <v>100</v>
      </c>
      <c r="D51" s="4">
        <f t="shared" si="1"/>
        <v>1821242.07</v>
      </c>
      <c r="E51" s="4" t="s">
        <v>100</v>
      </c>
      <c r="F51" s="4">
        <f t="shared" si="2"/>
        <v>1821761.9</v>
      </c>
      <c r="G51" s="4" t="s">
        <v>100</v>
      </c>
      <c r="H51" s="4">
        <f t="shared" si="17"/>
        <v>1352.98</v>
      </c>
      <c r="I51" s="4" t="s">
        <v>100</v>
      </c>
      <c r="J51" s="4">
        <f t="shared" si="18"/>
        <v>1821201.3</v>
      </c>
      <c r="K51" s="4" t="s">
        <v>100</v>
      </c>
      <c r="L51" s="4">
        <f t="shared" si="19"/>
        <v>1830213.9</v>
      </c>
      <c r="M51" s="4" t="s">
        <v>100</v>
      </c>
      <c r="N51" s="4">
        <f t="shared" si="20"/>
        <v>1833855.27</v>
      </c>
      <c r="O51" s="4" t="s">
        <v>100</v>
      </c>
      <c r="P51" s="4">
        <f t="shared" si="21"/>
        <v>1210.27</v>
      </c>
      <c r="Q51" s="4" t="s">
        <v>100</v>
      </c>
      <c r="R51" s="4">
        <f t="shared" si="22"/>
        <v>1830054.3</v>
      </c>
      <c r="S51" s="4" t="s">
        <v>100</v>
      </c>
      <c r="T51" s="4">
        <f t="shared" si="23"/>
        <v>1832637.2</v>
      </c>
      <c r="U51" s="4" t="s">
        <v>100</v>
      </c>
      <c r="V51" s="4">
        <f t="shared" si="24"/>
        <v>1835033.09</v>
      </c>
      <c r="W51" s="4" t="s">
        <v>100</v>
      </c>
      <c r="X51" s="4">
        <f t="shared" si="25"/>
        <v>2701.61</v>
      </c>
      <c r="Y51" s="4" t="s">
        <v>100</v>
      </c>
      <c r="Z51" s="4">
        <f t="shared" si="26"/>
        <v>1832562.4</v>
      </c>
      <c r="AA51" s="4" t="s">
        <v>100</v>
      </c>
      <c r="AB51" s="4">
        <f t="shared" si="27"/>
        <v>1832637.2</v>
      </c>
      <c r="AC51" s="4" t="s">
        <v>100</v>
      </c>
      <c r="AD51" s="4">
        <f t="shared" si="28"/>
        <v>1835033.09</v>
      </c>
      <c r="AE51" s="4" t="s">
        <v>100</v>
      </c>
      <c r="AF51" s="4">
        <f t="shared" si="29"/>
        <v>4131.08</v>
      </c>
      <c r="AG51" s="4" t="s">
        <v>100</v>
      </c>
      <c r="AH51" s="4">
        <f t="shared" si="30"/>
        <v>1832562.4</v>
      </c>
      <c r="AI51" s="6" t="s">
        <v>102</v>
      </c>
    </row>
    <row r="52" spans="1:35">
      <c r="A52" s="4">
        <f t="shared" si="0"/>
        <v>1337100.24</v>
      </c>
      <c r="B52" s="4" t="s">
        <v>52</v>
      </c>
      <c r="C52" s="4" t="s">
        <v>100</v>
      </c>
      <c r="D52" s="4">
        <f t="shared" si="1"/>
        <v>1337100.24</v>
      </c>
      <c r="E52" s="4" t="s">
        <v>100</v>
      </c>
      <c r="F52" s="4">
        <f t="shared" si="2"/>
        <v>1337628.8700000001</v>
      </c>
      <c r="G52" s="4" t="s">
        <v>100</v>
      </c>
      <c r="H52" s="4">
        <f t="shared" si="17"/>
        <v>1037.56</v>
      </c>
      <c r="I52" s="4" t="s">
        <v>100</v>
      </c>
      <c r="J52" s="4">
        <f t="shared" si="18"/>
        <v>1336938.5</v>
      </c>
      <c r="K52" s="4" t="s">
        <v>100</v>
      </c>
      <c r="L52" s="4">
        <f t="shared" si="19"/>
        <v>1350149.6</v>
      </c>
      <c r="M52" s="4" t="s">
        <v>100</v>
      </c>
      <c r="N52" s="4">
        <f t="shared" si="20"/>
        <v>1350599.24</v>
      </c>
      <c r="O52" s="4" t="s">
        <v>100</v>
      </c>
      <c r="P52" s="4">
        <f t="shared" si="21"/>
        <v>1050.54</v>
      </c>
      <c r="Q52" s="4" t="s">
        <v>100</v>
      </c>
      <c r="R52" s="4">
        <f t="shared" si="22"/>
        <v>1350184.9</v>
      </c>
      <c r="S52" s="4" t="s">
        <v>100</v>
      </c>
      <c r="T52" s="4">
        <f t="shared" si="23"/>
        <v>1357838.9</v>
      </c>
      <c r="U52" s="4" t="s">
        <v>100</v>
      </c>
      <c r="V52" s="4">
        <f t="shared" si="24"/>
        <v>1360622.79</v>
      </c>
      <c r="W52" s="4" t="s">
        <v>100</v>
      </c>
      <c r="X52" s="4">
        <f t="shared" si="25"/>
        <v>2731.44</v>
      </c>
      <c r="Y52" s="4" t="s">
        <v>100</v>
      </c>
      <c r="Z52" s="4">
        <f t="shared" si="26"/>
        <v>1357784.3</v>
      </c>
      <c r="AA52" s="4" t="s">
        <v>100</v>
      </c>
      <c r="AB52" s="4">
        <f t="shared" si="27"/>
        <v>1357838.9</v>
      </c>
      <c r="AC52" s="4" t="s">
        <v>100</v>
      </c>
      <c r="AD52" s="4">
        <f t="shared" si="28"/>
        <v>1360622.79</v>
      </c>
      <c r="AE52" s="4" t="s">
        <v>100</v>
      </c>
      <c r="AF52" s="4">
        <f t="shared" si="29"/>
        <v>5116.7299999999996</v>
      </c>
      <c r="AG52" s="4" t="s">
        <v>100</v>
      </c>
      <c r="AH52" s="4">
        <f t="shared" si="30"/>
        <v>1357784.3</v>
      </c>
      <c r="AI52" s="6" t="s">
        <v>102</v>
      </c>
    </row>
    <row r="53" spans="1:35">
      <c r="A53" s="4">
        <f t="shared" si="0"/>
        <v>2620042.08</v>
      </c>
      <c r="B53" s="4" t="s">
        <v>53</v>
      </c>
      <c r="C53" s="4" t="s">
        <v>100</v>
      </c>
      <c r="D53" s="4">
        <f t="shared" si="1"/>
        <v>2620042.08</v>
      </c>
      <c r="E53" s="4" t="s">
        <v>100</v>
      </c>
      <c r="F53" s="4">
        <f t="shared" si="2"/>
        <v>2622073.9300000002</v>
      </c>
      <c r="G53" s="4" t="s">
        <v>100</v>
      </c>
      <c r="H53" s="4">
        <f t="shared" si="17"/>
        <v>1191.52</v>
      </c>
      <c r="I53" s="4" t="s">
        <v>100</v>
      </c>
      <c r="J53" s="4">
        <f t="shared" si="18"/>
        <v>2620083.7000000002</v>
      </c>
      <c r="K53" s="4" t="s">
        <v>100</v>
      </c>
      <c r="L53" s="4">
        <f t="shared" si="19"/>
        <v>2635733.5</v>
      </c>
      <c r="M53" s="4" t="s">
        <v>100</v>
      </c>
      <c r="N53" s="4">
        <f t="shared" si="20"/>
        <v>2638722.98</v>
      </c>
      <c r="O53" s="4" t="s">
        <v>100</v>
      </c>
      <c r="P53" s="4">
        <f t="shared" si="21"/>
        <v>844.81</v>
      </c>
      <c r="Q53" s="4" t="s">
        <v>100</v>
      </c>
      <c r="R53" s="4">
        <f t="shared" si="22"/>
        <v>2635621.6</v>
      </c>
      <c r="S53" s="4" t="s">
        <v>100</v>
      </c>
      <c r="T53" s="4">
        <f t="shared" si="23"/>
        <v>2648080.6</v>
      </c>
      <c r="U53" s="4" t="s">
        <v>100</v>
      </c>
      <c r="V53" s="4">
        <f t="shared" si="24"/>
        <v>2652663.79</v>
      </c>
      <c r="W53" s="4" t="s">
        <v>100</v>
      </c>
      <c r="X53" s="4">
        <f t="shared" si="25"/>
        <v>9165.07</v>
      </c>
      <c r="Y53" s="4" t="s">
        <v>100</v>
      </c>
      <c r="Z53" s="4">
        <f t="shared" si="26"/>
        <v>2647936.2999999998</v>
      </c>
      <c r="AA53" s="4" t="s">
        <v>100</v>
      </c>
      <c r="AB53" s="4">
        <f t="shared" si="27"/>
        <v>2648080.6</v>
      </c>
      <c r="AC53" s="4" t="s">
        <v>100</v>
      </c>
      <c r="AD53" s="4">
        <f t="shared" si="28"/>
        <v>2652663.79</v>
      </c>
      <c r="AE53" s="4" t="s">
        <v>100</v>
      </c>
      <c r="AF53" s="4">
        <f t="shared" si="29"/>
        <v>18134.400000000001</v>
      </c>
      <c r="AG53" s="4" t="s">
        <v>100</v>
      </c>
      <c r="AH53" s="4">
        <f t="shared" si="30"/>
        <v>2647936.2999999998</v>
      </c>
      <c r="AI53" s="6" t="s">
        <v>102</v>
      </c>
    </row>
    <row r="54" spans="1:35">
      <c r="A54" s="4">
        <f t="shared" si="0"/>
        <v>2525547.2400000002</v>
      </c>
      <c r="B54" s="4" t="s">
        <v>54</v>
      </c>
      <c r="C54" s="4" t="s">
        <v>100</v>
      </c>
      <c r="D54" s="4">
        <f t="shared" si="1"/>
        <v>2525547.2400000002</v>
      </c>
      <c r="E54" s="4" t="s">
        <v>100</v>
      </c>
      <c r="F54" s="4">
        <f t="shared" si="2"/>
        <v>2531717.2400000002</v>
      </c>
      <c r="G54" s="4" t="s">
        <v>100</v>
      </c>
      <c r="H54" s="4">
        <f t="shared" si="17"/>
        <v>1294.6199999999999</v>
      </c>
      <c r="I54" s="4" t="s">
        <v>100</v>
      </c>
      <c r="J54" s="4">
        <f t="shared" si="18"/>
        <v>2525141.9</v>
      </c>
      <c r="K54" s="4" t="s">
        <v>100</v>
      </c>
      <c r="L54" s="4">
        <f t="shared" si="19"/>
        <v>2542112.9</v>
      </c>
      <c r="M54" s="4" t="s">
        <v>100</v>
      </c>
      <c r="N54" s="4">
        <f t="shared" si="20"/>
        <v>2545782.69</v>
      </c>
      <c r="O54" s="4" t="s">
        <v>100</v>
      </c>
      <c r="P54" s="4">
        <f t="shared" si="21"/>
        <v>1304.1199999999999</v>
      </c>
      <c r="Q54" s="4" t="s">
        <v>100</v>
      </c>
      <c r="R54" s="4">
        <f t="shared" si="22"/>
        <v>2542001</v>
      </c>
      <c r="S54" s="4" t="s">
        <v>100</v>
      </c>
      <c r="T54" s="4">
        <f t="shared" si="23"/>
        <v>2602788.2999999998</v>
      </c>
      <c r="U54" s="4" t="s">
        <v>100</v>
      </c>
      <c r="V54" s="4">
        <f t="shared" si="24"/>
        <v>2618073.13</v>
      </c>
      <c r="W54" s="4" t="s">
        <v>100</v>
      </c>
      <c r="X54" s="4">
        <f t="shared" si="25"/>
        <v>7228.62</v>
      </c>
      <c r="Y54" s="4" t="s">
        <v>100</v>
      </c>
      <c r="Z54" s="4">
        <f t="shared" si="26"/>
        <v>2602501.2000000002</v>
      </c>
      <c r="AA54" s="4" t="s">
        <v>100</v>
      </c>
      <c r="AB54" s="4">
        <f t="shared" si="27"/>
        <v>2602788.2999999998</v>
      </c>
      <c r="AC54" s="4" t="s">
        <v>100</v>
      </c>
      <c r="AD54" s="4">
        <f t="shared" si="28"/>
        <v>2618089.71</v>
      </c>
      <c r="AE54" s="4" t="s">
        <v>100</v>
      </c>
      <c r="AF54" s="4">
        <f t="shared" si="29"/>
        <v>17918.78</v>
      </c>
      <c r="AG54" s="4" t="s">
        <v>100</v>
      </c>
      <c r="AH54" s="4">
        <f t="shared" si="30"/>
        <v>2602501.2000000002</v>
      </c>
      <c r="AI54" s="6" t="s">
        <v>102</v>
      </c>
    </row>
    <row r="55" spans="1:35">
      <c r="AI55" s="6"/>
    </row>
    <row r="56" spans="1:35">
      <c r="A56" s="4">
        <f t="shared" si="0"/>
        <v>43.81</v>
      </c>
      <c r="B56" s="4" t="s">
        <v>55</v>
      </c>
      <c r="C56" s="4" t="s">
        <v>100</v>
      </c>
      <c r="D56" s="4">
        <f t="shared" si="1"/>
        <v>43.81</v>
      </c>
      <c r="E56" s="4" t="s">
        <v>100</v>
      </c>
      <c r="F56" s="4">
        <f t="shared" si="2"/>
        <v>47.11</v>
      </c>
      <c r="G56" s="4" t="s">
        <v>100</v>
      </c>
      <c r="H56" s="4">
        <f t="shared" si="17"/>
        <v>960.01</v>
      </c>
      <c r="I56" s="4" t="s">
        <v>100</v>
      </c>
      <c r="J56" s="4">
        <f t="shared" si="18"/>
        <v>51.2</v>
      </c>
      <c r="K56" s="4" t="s">
        <v>100</v>
      </c>
      <c r="L56" s="4">
        <f t="shared" si="19"/>
        <v>441.8</v>
      </c>
      <c r="M56" s="4" t="s">
        <v>100</v>
      </c>
      <c r="N56" s="4">
        <f t="shared" si="20"/>
        <v>516.21</v>
      </c>
      <c r="O56" s="4" t="s">
        <v>100</v>
      </c>
      <c r="P56" s="4">
        <f t="shared" si="21"/>
        <v>1009.39</v>
      </c>
      <c r="Q56" s="4" t="s">
        <v>100</v>
      </c>
      <c r="R56" s="4">
        <f t="shared" si="22"/>
        <v>438.9</v>
      </c>
      <c r="S56" s="4" t="s">
        <v>100</v>
      </c>
      <c r="T56" s="4">
        <f t="shared" si="23"/>
        <v>44.7</v>
      </c>
      <c r="U56" s="4" t="s">
        <v>100</v>
      </c>
      <c r="V56" s="4">
        <f t="shared" si="24"/>
        <v>50.84</v>
      </c>
      <c r="W56" s="4" t="s">
        <v>100</v>
      </c>
      <c r="X56" s="4">
        <f t="shared" si="25"/>
        <v>621.41999999999996</v>
      </c>
      <c r="Y56" s="4" t="s">
        <v>100</v>
      </c>
      <c r="Z56" s="4">
        <f t="shared" si="26"/>
        <v>46</v>
      </c>
      <c r="AA56" s="4" t="s">
        <v>100</v>
      </c>
      <c r="AB56" s="4">
        <f t="shared" si="27"/>
        <v>44.7</v>
      </c>
      <c r="AC56" s="4" t="s">
        <v>100</v>
      </c>
      <c r="AD56" s="4">
        <f t="shared" si="28"/>
        <v>50.84</v>
      </c>
      <c r="AE56" s="4" t="s">
        <v>100</v>
      </c>
      <c r="AF56" s="4">
        <f t="shared" si="29"/>
        <v>614.26</v>
      </c>
      <c r="AG56" s="4" t="s">
        <v>100</v>
      </c>
      <c r="AH56" s="4">
        <f t="shared" si="30"/>
        <v>46</v>
      </c>
      <c r="AI56" s="6" t="s">
        <v>102</v>
      </c>
    </row>
    <row r="57" spans="1:35">
      <c r="A57" s="4">
        <f t="shared" si="0"/>
        <v>16</v>
      </c>
      <c r="B57" s="4" t="s">
        <v>56</v>
      </c>
      <c r="C57" s="4" t="s">
        <v>100</v>
      </c>
      <c r="D57" s="4">
        <f t="shared" si="1"/>
        <v>17</v>
      </c>
      <c r="E57" s="4" t="s">
        <v>100</v>
      </c>
      <c r="F57" s="4">
        <f t="shared" si="2"/>
        <v>19.7</v>
      </c>
      <c r="G57" s="4" t="s">
        <v>100</v>
      </c>
      <c r="H57" s="4">
        <f t="shared" si="17"/>
        <v>1023</v>
      </c>
      <c r="I57" s="4" t="s">
        <v>100</v>
      </c>
      <c r="J57" s="4">
        <f t="shared" si="18"/>
        <v>23.2</v>
      </c>
      <c r="K57" s="4" t="s">
        <v>100</v>
      </c>
      <c r="L57" s="4">
        <f t="shared" si="19"/>
        <v>167.4</v>
      </c>
      <c r="M57" s="4" t="s">
        <v>100</v>
      </c>
      <c r="N57" s="4">
        <f t="shared" si="20"/>
        <v>225.56</v>
      </c>
      <c r="O57" s="4" t="s">
        <v>100</v>
      </c>
      <c r="P57" s="4">
        <f t="shared" si="21"/>
        <v>830.12</v>
      </c>
      <c r="Q57" s="4" t="s">
        <v>100</v>
      </c>
      <c r="R57" s="4">
        <f t="shared" si="22"/>
        <v>175.3</v>
      </c>
      <c r="S57" s="4" t="s">
        <v>100</v>
      </c>
      <c r="T57" s="4">
        <f t="shared" si="23"/>
        <v>17</v>
      </c>
      <c r="U57" s="4" t="s">
        <v>100</v>
      </c>
      <c r="V57" s="4">
        <f t="shared" si="24"/>
        <v>25.25</v>
      </c>
      <c r="W57" s="4" t="s">
        <v>100</v>
      </c>
      <c r="X57" s="4">
        <f t="shared" si="25"/>
        <v>641.5</v>
      </c>
      <c r="Y57" s="4" t="s">
        <v>100</v>
      </c>
      <c r="Z57" s="4">
        <f t="shared" si="26"/>
        <v>23.2</v>
      </c>
      <c r="AA57" s="4" t="s">
        <v>100</v>
      </c>
      <c r="AB57" s="4">
        <f t="shared" si="27"/>
        <v>16</v>
      </c>
      <c r="AC57" s="4" t="s">
        <v>100</v>
      </c>
      <c r="AD57" s="4">
        <f t="shared" si="28"/>
        <v>23.85</v>
      </c>
      <c r="AE57" s="4" t="s">
        <v>100</v>
      </c>
      <c r="AF57" s="4">
        <f t="shared" si="29"/>
        <v>949.34</v>
      </c>
      <c r="AG57" s="4" t="s">
        <v>100</v>
      </c>
      <c r="AH57" s="4">
        <f t="shared" si="30"/>
        <v>20.100000000000001</v>
      </c>
      <c r="AI57" s="6" t="s">
        <v>102</v>
      </c>
    </row>
    <row r="58" spans="1:35">
      <c r="A58" s="4">
        <f t="shared" si="0"/>
        <v>8264.02</v>
      </c>
      <c r="B58" s="4" t="s">
        <v>57</v>
      </c>
      <c r="C58" s="4" t="s">
        <v>100</v>
      </c>
      <c r="D58" s="4">
        <f t="shared" si="1"/>
        <v>8264.02</v>
      </c>
      <c r="E58" s="4" t="s">
        <v>100</v>
      </c>
      <c r="F58" s="4">
        <f t="shared" si="2"/>
        <v>8342.8799999999992</v>
      </c>
      <c r="G58" s="4" t="s">
        <v>100</v>
      </c>
      <c r="H58" s="4">
        <f t="shared" si="17"/>
        <v>297.22000000000003</v>
      </c>
      <c r="I58" s="4" t="s">
        <v>100</v>
      </c>
      <c r="J58" s="4">
        <f t="shared" si="18"/>
        <v>8288.9</v>
      </c>
      <c r="K58" s="4" t="s">
        <v>100</v>
      </c>
      <c r="L58" s="4">
        <f t="shared" si="19"/>
        <v>8612.6</v>
      </c>
      <c r="M58" s="4" t="s">
        <v>100</v>
      </c>
      <c r="N58" s="4">
        <f t="shared" si="20"/>
        <v>8635.48</v>
      </c>
      <c r="O58" s="4" t="s">
        <v>100</v>
      </c>
      <c r="P58" s="4">
        <f t="shared" si="21"/>
        <v>486.64</v>
      </c>
      <c r="Q58" s="4" t="s">
        <v>100</v>
      </c>
      <c r="R58" s="4">
        <f t="shared" si="22"/>
        <v>8636.1</v>
      </c>
      <c r="S58" s="4" t="s">
        <v>100</v>
      </c>
      <c r="T58" s="4">
        <f t="shared" si="23"/>
        <v>8328.7999999999993</v>
      </c>
      <c r="U58" s="4" t="s">
        <v>100</v>
      </c>
      <c r="V58" s="4">
        <f t="shared" si="24"/>
        <v>8493.82</v>
      </c>
      <c r="W58" s="4" t="s">
        <v>100</v>
      </c>
      <c r="X58" s="4">
        <f t="shared" si="25"/>
        <v>416.89</v>
      </c>
      <c r="Y58" s="4" t="s">
        <v>100</v>
      </c>
      <c r="Z58" s="4">
        <f t="shared" si="26"/>
        <v>8284.2999999999993</v>
      </c>
      <c r="AA58" s="4" t="s">
        <v>100</v>
      </c>
      <c r="AB58" s="4">
        <f t="shared" si="27"/>
        <v>8278.9</v>
      </c>
      <c r="AC58" s="4" t="s">
        <v>100</v>
      </c>
      <c r="AD58" s="4">
        <f t="shared" si="28"/>
        <v>8461.5300000000007</v>
      </c>
      <c r="AE58" s="4" t="s">
        <v>100</v>
      </c>
      <c r="AF58" s="4">
        <f t="shared" si="29"/>
        <v>491.07</v>
      </c>
      <c r="AG58" s="4" t="s">
        <v>100</v>
      </c>
      <c r="AH58" s="4">
        <f t="shared" si="30"/>
        <v>8287.4</v>
      </c>
      <c r="AI58" s="6" t="s">
        <v>102</v>
      </c>
    </row>
    <row r="59" spans="1:35">
      <c r="A59" s="4">
        <f t="shared" si="0"/>
        <v>374.6</v>
      </c>
      <c r="B59" s="4" t="s">
        <v>58</v>
      </c>
      <c r="C59" s="4" t="s">
        <v>100</v>
      </c>
      <c r="D59" s="4">
        <f t="shared" si="1"/>
        <v>374.6</v>
      </c>
      <c r="E59" s="4" t="s">
        <v>100</v>
      </c>
      <c r="F59" s="4">
        <f t="shared" si="2"/>
        <v>604.75</v>
      </c>
      <c r="G59" s="4" t="s">
        <v>100</v>
      </c>
      <c r="H59" s="4">
        <f t="shared" si="17"/>
        <v>907.73</v>
      </c>
      <c r="I59" s="4" t="s">
        <v>100</v>
      </c>
      <c r="J59" s="4">
        <f t="shared" si="18"/>
        <v>353.4</v>
      </c>
      <c r="K59" s="4" t="s">
        <v>100</v>
      </c>
      <c r="L59" s="4">
        <f t="shared" si="19"/>
        <v>1626.6</v>
      </c>
      <c r="M59" s="4" t="s">
        <v>100</v>
      </c>
      <c r="N59" s="4">
        <f t="shared" si="20"/>
        <v>1763.2</v>
      </c>
      <c r="O59" s="4" t="s">
        <v>100</v>
      </c>
      <c r="P59" s="4">
        <f t="shared" si="21"/>
        <v>790.16</v>
      </c>
      <c r="Q59" s="4" t="s">
        <v>100</v>
      </c>
      <c r="R59" s="4">
        <f t="shared" si="22"/>
        <v>1607</v>
      </c>
      <c r="S59" s="4" t="s">
        <v>100</v>
      </c>
      <c r="T59" s="4">
        <f t="shared" si="23"/>
        <v>529.9</v>
      </c>
      <c r="U59" s="4" t="s">
        <v>100</v>
      </c>
      <c r="V59" s="4">
        <f t="shared" si="24"/>
        <v>714.94</v>
      </c>
      <c r="W59" s="4" t="s">
        <v>100</v>
      </c>
      <c r="X59" s="4">
        <f t="shared" si="25"/>
        <v>924.88</v>
      </c>
      <c r="Y59" s="4" t="s">
        <v>100</v>
      </c>
      <c r="Z59" s="4">
        <f t="shared" si="26"/>
        <v>508.7</v>
      </c>
      <c r="AA59" s="4" t="s">
        <v>100</v>
      </c>
      <c r="AB59" s="4">
        <f t="shared" si="27"/>
        <v>580.6</v>
      </c>
      <c r="AC59" s="4" t="s">
        <v>100</v>
      </c>
      <c r="AD59" s="4">
        <f t="shared" si="28"/>
        <v>749.93</v>
      </c>
      <c r="AE59" s="4" t="s">
        <v>100</v>
      </c>
      <c r="AF59" s="4">
        <f t="shared" si="29"/>
        <v>921.61</v>
      </c>
      <c r="AG59" s="4" t="s">
        <v>100</v>
      </c>
      <c r="AH59" s="4">
        <f t="shared" si="30"/>
        <v>560.1</v>
      </c>
      <c r="AI59" s="6" t="s">
        <v>102</v>
      </c>
    </row>
    <row r="60" spans="1:35">
      <c r="A60" s="4">
        <f t="shared" si="0"/>
        <v>29625.200000000001</v>
      </c>
      <c r="B60" s="4" t="s">
        <v>59</v>
      </c>
      <c r="C60" s="4" t="s">
        <v>100</v>
      </c>
      <c r="D60" s="4">
        <f t="shared" si="1"/>
        <v>29764.93</v>
      </c>
      <c r="E60" s="4" t="s">
        <v>100</v>
      </c>
      <c r="F60" s="4">
        <f t="shared" si="2"/>
        <v>30018.93</v>
      </c>
      <c r="G60" s="4" t="s">
        <v>100</v>
      </c>
      <c r="H60" s="4">
        <f t="shared" si="17"/>
        <v>784.09</v>
      </c>
      <c r="I60" s="4" t="s">
        <v>100</v>
      </c>
      <c r="J60" s="4">
        <f t="shared" si="18"/>
        <v>29791.1</v>
      </c>
      <c r="K60" s="4" t="s">
        <v>100</v>
      </c>
      <c r="L60" s="4">
        <f t="shared" si="19"/>
        <v>29627.7</v>
      </c>
      <c r="M60" s="4" t="s">
        <v>100</v>
      </c>
      <c r="N60" s="4">
        <f t="shared" si="20"/>
        <v>30074.67</v>
      </c>
      <c r="O60" s="4" t="s">
        <v>100</v>
      </c>
      <c r="P60" s="4">
        <f t="shared" si="21"/>
        <v>894.39</v>
      </c>
      <c r="Q60" s="4" t="s">
        <v>100</v>
      </c>
      <c r="R60" s="4">
        <f t="shared" si="22"/>
        <v>29690.9</v>
      </c>
      <c r="S60" s="4" t="s">
        <v>100</v>
      </c>
      <c r="T60" s="4">
        <f t="shared" si="23"/>
        <v>29626.5</v>
      </c>
      <c r="U60" s="4" t="s">
        <v>100</v>
      </c>
      <c r="V60" s="4">
        <f t="shared" si="24"/>
        <v>29980.62</v>
      </c>
      <c r="W60" s="4" t="s">
        <v>100</v>
      </c>
      <c r="X60" s="4">
        <f t="shared" si="25"/>
        <v>1066.67</v>
      </c>
      <c r="Y60" s="4" t="s">
        <v>100</v>
      </c>
      <c r="Z60" s="4">
        <f t="shared" si="26"/>
        <v>29695.5</v>
      </c>
      <c r="AA60" s="4" t="s">
        <v>100</v>
      </c>
      <c r="AB60" s="4">
        <f t="shared" si="27"/>
        <v>29625.200000000001</v>
      </c>
      <c r="AC60" s="4" t="s">
        <v>100</v>
      </c>
      <c r="AD60" s="4">
        <f t="shared" si="28"/>
        <v>29957.52</v>
      </c>
      <c r="AE60" s="4" t="s">
        <v>100</v>
      </c>
      <c r="AF60" s="4">
        <f t="shared" si="29"/>
        <v>1112.56</v>
      </c>
      <c r="AG60" s="4" t="s">
        <v>100</v>
      </c>
      <c r="AH60" s="4">
        <f t="shared" si="30"/>
        <v>29702</v>
      </c>
      <c r="AI60" s="6" t="s">
        <v>102</v>
      </c>
    </row>
    <row r="61" spans="1:35">
      <c r="A61" s="4">
        <f t="shared" si="0"/>
        <v>5248.03</v>
      </c>
      <c r="B61" s="4" t="s">
        <v>60</v>
      </c>
      <c r="C61" s="4" t="s">
        <v>100</v>
      </c>
      <c r="D61" s="4">
        <f t="shared" si="1"/>
        <v>5248.03</v>
      </c>
      <c r="E61" s="4" t="s">
        <v>100</v>
      </c>
      <c r="F61" s="4">
        <f t="shared" si="2"/>
        <v>5707.41</v>
      </c>
      <c r="G61" s="4" t="s">
        <v>100</v>
      </c>
      <c r="H61" s="4">
        <f t="shared" si="17"/>
        <v>305.23</v>
      </c>
      <c r="I61" s="4" t="s">
        <v>100</v>
      </c>
      <c r="J61" s="4">
        <f t="shared" si="18"/>
        <v>5193.2</v>
      </c>
      <c r="K61" s="4" t="s">
        <v>100</v>
      </c>
      <c r="L61" s="4">
        <f t="shared" si="19"/>
        <v>5724.4</v>
      </c>
      <c r="M61" s="4" t="s">
        <v>100</v>
      </c>
      <c r="N61" s="4">
        <f t="shared" si="20"/>
        <v>5940.66</v>
      </c>
      <c r="O61" s="4" t="s">
        <v>100</v>
      </c>
      <c r="P61" s="4">
        <f t="shared" si="21"/>
        <v>1204.43</v>
      </c>
      <c r="Q61" s="4" t="s">
        <v>100</v>
      </c>
      <c r="R61" s="4">
        <f t="shared" si="22"/>
        <v>5685.2</v>
      </c>
      <c r="S61" s="4" t="s">
        <v>100</v>
      </c>
      <c r="T61" s="4">
        <f t="shared" si="23"/>
        <v>5363.9</v>
      </c>
      <c r="U61" s="4" t="s">
        <v>100</v>
      </c>
      <c r="V61" s="4">
        <f t="shared" si="24"/>
        <v>5826.31</v>
      </c>
      <c r="W61" s="4" t="s">
        <v>100</v>
      </c>
      <c r="X61" s="4">
        <f t="shared" si="25"/>
        <v>279.39</v>
      </c>
      <c r="Y61" s="4" t="s">
        <v>100</v>
      </c>
      <c r="Z61" s="4">
        <f t="shared" si="26"/>
        <v>5346.3</v>
      </c>
      <c r="AA61" s="4" t="s">
        <v>100</v>
      </c>
      <c r="AB61" s="4">
        <f t="shared" si="27"/>
        <v>5363.9</v>
      </c>
      <c r="AC61" s="4" t="s">
        <v>100</v>
      </c>
      <c r="AD61" s="4">
        <f t="shared" si="28"/>
        <v>5826.31</v>
      </c>
      <c r="AE61" s="4" t="s">
        <v>100</v>
      </c>
      <c r="AF61" s="4">
        <f t="shared" si="29"/>
        <v>326.69</v>
      </c>
      <c r="AG61" s="4" t="s">
        <v>100</v>
      </c>
      <c r="AH61" s="4">
        <f t="shared" si="30"/>
        <v>5346.3</v>
      </c>
      <c r="AI61" s="6" t="s">
        <v>102</v>
      </c>
    </row>
    <row r="62" spans="1:35">
      <c r="A62" s="4">
        <f t="shared" si="0"/>
        <v>82114.8</v>
      </c>
      <c r="B62" s="4" t="s">
        <v>61</v>
      </c>
      <c r="C62" s="4" t="s">
        <v>100</v>
      </c>
      <c r="D62" s="4">
        <f t="shared" si="1"/>
        <v>82328.800000000003</v>
      </c>
      <c r="E62" s="4" t="s">
        <v>100</v>
      </c>
      <c r="F62" s="4">
        <f t="shared" si="2"/>
        <v>82564.929999999993</v>
      </c>
      <c r="G62" s="4" t="s">
        <v>100</v>
      </c>
      <c r="H62" s="4">
        <f t="shared" si="17"/>
        <v>1060.08</v>
      </c>
      <c r="I62" s="4" t="s">
        <v>100</v>
      </c>
      <c r="J62" s="4">
        <f t="shared" si="18"/>
        <v>82390.3</v>
      </c>
      <c r="K62" s="4" t="s">
        <v>100</v>
      </c>
      <c r="L62" s="4">
        <f t="shared" si="19"/>
        <v>82469.8</v>
      </c>
      <c r="M62" s="4" t="s">
        <v>100</v>
      </c>
      <c r="N62" s="4">
        <f t="shared" si="20"/>
        <v>82834.12</v>
      </c>
      <c r="O62" s="4" t="s">
        <v>100</v>
      </c>
      <c r="P62" s="4">
        <f t="shared" si="21"/>
        <v>916.44</v>
      </c>
      <c r="Q62" s="4" t="s">
        <v>100</v>
      </c>
      <c r="R62" s="4">
        <f t="shared" si="22"/>
        <v>82567.7</v>
      </c>
      <c r="S62" s="4" t="s">
        <v>100</v>
      </c>
      <c r="T62" s="4">
        <f t="shared" si="23"/>
        <v>82114.8</v>
      </c>
      <c r="U62" s="4" t="s">
        <v>100</v>
      </c>
      <c r="V62" s="4">
        <f t="shared" si="24"/>
        <v>82734.59</v>
      </c>
      <c r="W62" s="4" t="s">
        <v>100</v>
      </c>
      <c r="X62" s="4">
        <f t="shared" si="25"/>
        <v>887.57</v>
      </c>
      <c r="Y62" s="4" t="s">
        <v>100</v>
      </c>
      <c r="Z62" s="4">
        <f t="shared" si="26"/>
        <v>82179.399999999994</v>
      </c>
      <c r="AA62" s="4" t="s">
        <v>100</v>
      </c>
      <c r="AB62" s="4">
        <f t="shared" si="27"/>
        <v>82114.8</v>
      </c>
      <c r="AC62" s="4" t="s">
        <v>100</v>
      </c>
      <c r="AD62" s="4">
        <f t="shared" si="28"/>
        <v>82771.58</v>
      </c>
      <c r="AE62" s="4" t="s">
        <v>100</v>
      </c>
      <c r="AF62" s="4">
        <f t="shared" si="29"/>
        <v>866.42</v>
      </c>
      <c r="AG62" s="4" t="s">
        <v>100</v>
      </c>
      <c r="AH62" s="4">
        <f t="shared" si="30"/>
        <v>82179.399999999994</v>
      </c>
      <c r="AI62" s="6" t="s">
        <v>102</v>
      </c>
    </row>
    <row r="63" spans="1:35">
      <c r="A63" s="4">
        <f t="shared" si="0"/>
        <v>43713.2</v>
      </c>
      <c r="B63" s="4" t="s">
        <v>62</v>
      </c>
      <c r="C63" s="4" t="s">
        <v>100</v>
      </c>
      <c r="D63" s="4">
        <f t="shared" si="1"/>
        <v>43721.55</v>
      </c>
      <c r="E63" s="4" t="s">
        <v>100</v>
      </c>
      <c r="F63" s="4">
        <f t="shared" si="2"/>
        <v>44134.35</v>
      </c>
      <c r="G63" s="4" t="s">
        <v>100</v>
      </c>
      <c r="H63" s="4">
        <f t="shared" si="17"/>
        <v>1488.81</v>
      </c>
      <c r="I63" s="4" t="s">
        <v>100</v>
      </c>
      <c r="J63" s="4">
        <f t="shared" si="18"/>
        <v>43829.2</v>
      </c>
      <c r="K63" s="4" t="s">
        <v>100</v>
      </c>
      <c r="L63" s="4">
        <f t="shared" si="19"/>
        <v>45434.5</v>
      </c>
      <c r="M63" s="4" t="s">
        <v>100</v>
      </c>
      <c r="N63" s="4">
        <f t="shared" si="20"/>
        <v>45700.05</v>
      </c>
      <c r="O63" s="4" t="s">
        <v>100</v>
      </c>
      <c r="P63" s="4">
        <f t="shared" si="21"/>
        <v>1065.52</v>
      </c>
      <c r="Q63" s="4" t="s">
        <v>100</v>
      </c>
      <c r="R63" s="4">
        <f t="shared" si="22"/>
        <v>45533.9</v>
      </c>
      <c r="S63" s="4" t="s">
        <v>100</v>
      </c>
      <c r="T63" s="4">
        <f t="shared" si="23"/>
        <v>43713.2</v>
      </c>
      <c r="U63" s="4" t="s">
        <v>100</v>
      </c>
      <c r="V63" s="4">
        <f t="shared" si="24"/>
        <v>44182.29</v>
      </c>
      <c r="W63" s="4" t="s">
        <v>100</v>
      </c>
      <c r="X63" s="4">
        <f t="shared" si="25"/>
        <v>1202.75</v>
      </c>
      <c r="Y63" s="4" t="s">
        <v>100</v>
      </c>
      <c r="Z63" s="4">
        <f t="shared" si="26"/>
        <v>43800</v>
      </c>
      <c r="AA63" s="4" t="s">
        <v>100</v>
      </c>
      <c r="AB63" s="4">
        <f t="shared" si="27"/>
        <v>43850.8</v>
      </c>
      <c r="AC63" s="4" t="s">
        <v>100</v>
      </c>
      <c r="AD63" s="4">
        <f t="shared" si="28"/>
        <v>44405.43</v>
      </c>
      <c r="AE63" s="4" t="s">
        <v>100</v>
      </c>
      <c r="AF63" s="4">
        <f t="shared" si="29"/>
        <v>1578.22</v>
      </c>
      <c r="AG63" s="4" t="s">
        <v>100</v>
      </c>
      <c r="AH63" s="4">
        <f t="shared" si="30"/>
        <v>43906.6</v>
      </c>
      <c r="AI63" s="6" t="s">
        <v>102</v>
      </c>
    </row>
    <row r="64" spans="1:35">
      <c r="A64" s="4">
        <f t="shared" si="0"/>
        <v>120168.9</v>
      </c>
      <c r="B64" s="4" t="s">
        <v>63</v>
      </c>
      <c r="C64" s="4" t="s">
        <v>100</v>
      </c>
      <c r="D64" s="4">
        <f t="shared" si="1"/>
        <v>121351.14</v>
      </c>
      <c r="E64" s="4" t="s">
        <v>100</v>
      </c>
      <c r="F64" s="4">
        <f t="shared" si="2"/>
        <v>122520.48</v>
      </c>
      <c r="G64" s="4" t="s">
        <v>100</v>
      </c>
      <c r="H64" s="4">
        <f t="shared" si="17"/>
        <v>1198</v>
      </c>
      <c r="I64" s="4" t="s">
        <v>100</v>
      </c>
      <c r="J64" s="4">
        <f t="shared" si="18"/>
        <v>121631.9</v>
      </c>
      <c r="K64" s="4" t="s">
        <v>100</v>
      </c>
      <c r="L64" s="4">
        <f t="shared" si="19"/>
        <v>120168.9</v>
      </c>
      <c r="M64" s="4" t="s">
        <v>100</v>
      </c>
      <c r="N64" s="4">
        <f t="shared" si="20"/>
        <v>122306.9</v>
      </c>
      <c r="O64" s="4" t="s">
        <v>100</v>
      </c>
      <c r="P64" s="4">
        <f t="shared" si="21"/>
        <v>853.01</v>
      </c>
      <c r="Q64" s="4" t="s">
        <v>100</v>
      </c>
      <c r="R64" s="4">
        <f t="shared" si="22"/>
        <v>120521.3</v>
      </c>
      <c r="S64" s="4" t="s">
        <v>100</v>
      </c>
      <c r="T64" s="4">
        <f t="shared" si="23"/>
        <v>121554.9</v>
      </c>
      <c r="U64" s="4" t="s">
        <v>100</v>
      </c>
      <c r="V64" s="4">
        <f t="shared" si="24"/>
        <v>122967.11</v>
      </c>
      <c r="W64" s="4" t="s">
        <v>100</v>
      </c>
      <c r="X64" s="4">
        <f t="shared" si="25"/>
        <v>1066.8800000000001</v>
      </c>
      <c r="Y64" s="4" t="s">
        <v>100</v>
      </c>
      <c r="Z64" s="4">
        <f t="shared" si="26"/>
        <v>121856.2</v>
      </c>
      <c r="AA64" s="4" t="s">
        <v>100</v>
      </c>
      <c r="AB64" s="4">
        <f t="shared" si="27"/>
        <v>121554.9</v>
      </c>
      <c r="AC64" s="4" t="s">
        <v>100</v>
      </c>
      <c r="AD64" s="4">
        <f t="shared" si="28"/>
        <v>122949.67</v>
      </c>
      <c r="AE64" s="4" t="s">
        <v>100</v>
      </c>
      <c r="AF64" s="4">
        <f t="shared" si="29"/>
        <v>1179.93</v>
      </c>
      <c r="AG64" s="4" t="s">
        <v>100</v>
      </c>
      <c r="AH64" s="4">
        <f t="shared" si="30"/>
        <v>121856.2</v>
      </c>
      <c r="AI64" s="6" t="s">
        <v>102</v>
      </c>
    </row>
    <row r="65" spans="1:35">
      <c r="A65" s="4">
        <f t="shared" si="0"/>
        <v>42243.96</v>
      </c>
      <c r="B65" s="4" t="s">
        <v>64</v>
      </c>
      <c r="C65" s="4" t="s">
        <v>100</v>
      </c>
      <c r="D65" s="4">
        <f t="shared" si="1"/>
        <v>42243.96</v>
      </c>
      <c r="E65" s="4" t="s">
        <v>100</v>
      </c>
      <c r="F65" s="4">
        <f t="shared" si="2"/>
        <v>43088.97</v>
      </c>
      <c r="G65" s="4" t="s">
        <v>100</v>
      </c>
      <c r="H65" s="4">
        <f t="shared" si="17"/>
        <v>1425.05</v>
      </c>
      <c r="I65" s="4" t="s">
        <v>100</v>
      </c>
      <c r="J65" s="4">
        <f t="shared" si="18"/>
        <v>42307.7</v>
      </c>
      <c r="K65" s="4" t="s">
        <v>100</v>
      </c>
      <c r="L65" s="4">
        <f t="shared" si="19"/>
        <v>43433</v>
      </c>
      <c r="M65" s="4" t="s">
        <v>100</v>
      </c>
      <c r="N65" s="4">
        <f t="shared" si="20"/>
        <v>43976.95</v>
      </c>
      <c r="O65" s="4" t="s">
        <v>100</v>
      </c>
      <c r="P65" s="4">
        <f t="shared" si="21"/>
        <v>1267.3800000000001</v>
      </c>
      <c r="Q65" s="4" t="s">
        <v>100</v>
      </c>
      <c r="R65" s="4">
        <f t="shared" si="22"/>
        <v>43476.7</v>
      </c>
      <c r="S65" s="4" t="s">
        <v>100</v>
      </c>
      <c r="T65" s="4">
        <f t="shared" si="23"/>
        <v>42963.6</v>
      </c>
      <c r="U65" s="4" t="s">
        <v>100</v>
      </c>
      <c r="V65" s="4">
        <f t="shared" si="24"/>
        <v>43675.17</v>
      </c>
      <c r="W65" s="4" t="s">
        <v>100</v>
      </c>
      <c r="X65" s="4">
        <f t="shared" si="25"/>
        <v>1404.38</v>
      </c>
      <c r="Y65" s="4" t="s">
        <v>100</v>
      </c>
      <c r="Z65" s="4">
        <f t="shared" si="26"/>
        <v>42947.199999999997</v>
      </c>
      <c r="AA65" s="4" t="s">
        <v>100</v>
      </c>
      <c r="AB65" s="4">
        <f t="shared" si="27"/>
        <v>43610.6</v>
      </c>
      <c r="AC65" s="4" t="s">
        <v>100</v>
      </c>
      <c r="AD65" s="4">
        <f t="shared" si="28"/>
        <v>44301.3</v>
      </c>
      <c r="AE65" s="4" t="s">
        <v>100</v>
      </c>
      <c r="AF65" s="4">
        <f t="shared" si="29"/>
        <v>1379.75</v>
      </c>
      <c r="AG65" s="4" t="s">
        <v>100</v>
      </c>
      <c r="AH65" s="4">
        <f t="shared" si="30"/>
        <v>43692.1</v>
      </c>
      <c r="AI65" s="6" t="s">
        <v>102</v>
      </c>
    </row>
    <row r="66" spans="1:35">
      <c r="A66" s="4">
        <f t="shared" si="0"/>
        <v>36350.620000000003</v>
      </c>
      <c r="B66" s="4" t="s">
        <v>65</v>
      </c>
      <c r="C66" s="4" t="s">
        <v>100</v>
      </c>
      <c r="D66" s="4">
        <f t="shared" si="1"/>
        <v>36350.620000000003</v>
      </c>
      <c r="E66" s="4" t="s">
        <v>100</v>
      </c>
      <c r="F66" s="4">
        <f t="shared" si="2"/>
        <v>36685.160000000003</v>
      </c>
      <c r="G66" s="4" t="s">
        <v>100</v>
      </c>
      <c r="H66" s="4">
        <f t="shared" si="17"/>
        <v>1488.08</v>
      </c>
      <c r="I66" s="4" t="s">
        <v>100</v>
      </c>
      <c r="J66" s="4">
        <f t="shared" si="18"/>
        <v>36448.9</v>
      </c>
      <c r="K66" s="4" t="s">
        <v>100</v>
      </c>
      <c r="L66" s="4">
        <f t="shared" si="19"/>
        <v>38893.5</v>
      </c>
      <c r="M66" s="4" t="s">
        <v>100</v>
      </c>
      <c r="N66" s="4">
        <f t="shared" si="20"/>
        <v>39326.15</v>
      </c>
      <c r="O66" s="4" t="s">
        <v>100</v>
      </c>
      <c r="P66" s="4">
        <f t="shared" si="21"/>
        <v>1445.19</v>
      </c>
      <c r="Q66" s="4" t="s">
        <v>100</v>
      </c>
      <c r="R66" s="4">
        <f t="shared" si="22"/>
        <v>38973.4</v>
      </c>
      <c r="S66" s="4" t="s">
        <v>100</v>
      </c>
      <c r="T66" s="4">
        <f t="shared" si="23"/>
        <v>37066.9</v>
      </c>
      <c r="U66" s="4" t="s">
        <v>100</v>
      </c>
      <c r="V66" s="4">
        <f t="shared" si="24"/>
        <v>37838.19</v>
      </c>
      <c r="W66" s="4" t="s">
        <v>100</v>
      </c>
      <c r="X66" s="4">
        <f t="shared" si="25"/>
        <v>1480.61</v>
      </c>
      <c r="Y66" s="4" t="s">
        <v>100</v>
      </c>
      <c r="Z66" s="4">
        <f t="shared" si="26"/>
        <v>37098.9</v>
      </c>
      <c r="AA66" s="4" t="s">
        <v>100</v>
      </c>
      <c r="AB66" s="4">
        <f t="shared" si="27"/>
        <v>37399.800000000003</v>
      </c>
      <c r="AC66" s="4" t="s">
        <v>100</v>
      </c>
      <c r="AD66" s="4">
        <f t="shared" si="28"/>
        <v>38222.879999999997</v>
      </c>
      <c r="AE66" s="4" t="s">
        <v>100</v>
      </c>
      <c r="AF66" s="4">
        <f t="shared" si="29"/>
        <v>1554.61</v>
      </c>
      <c r="AG66" s="4" t="s">
        <v>100</v>
      </c>
      <c r="AH66" s="4">
        <f t="shared" si="30"/>
        <v>37571.1</v>
      </c>
      <c r="AI66" s="6" t="s">
        <v>102</v>
      </c>
    </row>
    <row r="67" spans="1:35">
      <c r="A67" s="4">
        <f t="shared" si="0"/>
        <v>35803.85</v>
      </c>
      <c r="B67" s="4" t="s">
        <v>66</v>
      </c>
      <c r="C67" s="4" t="s">
        <v>100</v>
      </c>
      <c r="D67" s="4">
        <f t="shared" si="1"/>
        <v>35803.85</v>
      </c>
      <c r="E67" s="4" t="s">
        <v>100</v>
      </c>
      <c r="F67" s="4">
        <f t="shared" si="2"/>
        <v>36256.54</v>
      </c>
      <c r="G67" s="4" t="s">
        <v>100</v>
      </c>
      <c r="H67" s="4">
        <f t="shared" si="17"/>
        <v>1511.16</v>
      </c>
      <c r="I67" s="4" t="s">
        <v>100</v>
      </c>
      <c r="J67" s="4">
        <f t="shared" si="18"/>
        <v>35853.199999999997</v>
      </c>
      <c r="K67" s="4" t="s">
        <v>100</v>
      </c>
      <c r="L67" s="4">
        <f t="shared" si="19"/>
        <v>37900.300000000003</v>
      </c>
      <c r="M67" s="4" t="s">
        <v>100</v>
      </c>
      <c r="N67" s="4">
        <f t="shared" si="20"/>
        <v>38810.129999999997</v>
      </c>
      <c r="O67" s="4" t="s">
        <v>100</v>
      </c>
      <c r="P67" s="4">
        <f t="shared" si="21"/>
        <v>1192.48</v>
      </c>
      <c r="Q67" s="4" t="s">
        <v>100</v>
      </c>
      <c r="R67" s="4">
        <f t="shared" si="22"/>
        <v>37937.800000000003</v>
      </c>
      <c r="S67" s="4" t="s">
        <v>100</v>
      </c>
      <c r="T67" s="4">
        <f t="shared" si="23"/>
        <v>36327.5</v>
      </c>
      <c r="U67" s="4" t="s">
        <v>100</v>
      </c>
      <c r="V67" s="4">
        <f t="shared" si="24"/>
        <v>37040.370000000003</v>
      </c>
      <c r="W67" s="4" t="s">
        <v>100</v>
      </c>
      <c r="X67" s="4">
        <f t="shared" si="25"/>
        <v>1373.59</v>
      </c>
      <c r="Y67" s="4" t="s">
        <v>100</v>
      </c>
      <c r="Z67" s="4">
        <f t="shared" si="26"/>
        <v>36318.9</v>
      </c>
      <c r="AA67" s="4" t="s">
        <v>100</v>
      </c>
      <c r="AB67" s="4">
        <f t="shared" si="27"/>
        <v>36947.699999999997</v>
      </c>
      <c r="AC67" s="4" t="s">
        <v>100</v>
      </c>
      <c r="AD67" s="4">
        <f t="shared" si="28"/>
        <v>37510.75</v>
      </c>
      <c r="AE67" s="4" t="s">
        <v>100</v>
      </c>
      <c r="AF67" s="4">
        <f t="shared" si="29"/>
        <v>1356.19</v>
      </c>
      <c r="AG67" s="4" t="s">
        <v>100</v>
      </c>
      <c r="AH67" s="4">
        <f t="shared" si="30"/>
        <v>37037</v>
      </c>
      <c r="AI67" s="6" t="s">
        <v>102</v>
      </c>
    </row>
    <row r="68" spans="1:35">
      <c r="A68" s="4">
        <f t="shared" si="0"/>
        <v>119484.04</v>
      </c>
      <c r="B68" s="4" t="s">
        <v>67</v>
      </c>
      <c r="C68" s="4" t="s">
        <v>100</v>
      </c>
      <c r="D68" s="4">
        <f t="shared" si="1"/>
        <v>119484.04</v>
      </c>
      <c r="E68" s="4" t="s">
        <v>100</v>
      </c>
      <c r="F68" s="4">
        <f t="shared" si="2"/>
        <v>120939.04</v>
      </c>
      <c r="G68" s="4" t="s">
        <v>100</v>
      </c>
      <c r="H68" s="4">
        <f t="shared" si="17"/>
        <v>1597.88</v>
      </c>
      <c r="I68" s="4" t="s">
        <v>100</v>
      </c>
      <c r="J68" s="4">
        <f t="shared" si="18"/>
        <v>119510.2</v>
      </c>
      <c r="K68" s="4" t="s">
        <v>100</v>
      </c>
      <c r="L68" s="4">
        <f t="shared" si="19"/>
        <v>123462.7</v>
      </c>
      <c r="M68" s="4" t="s">
        <v>100</v>
      </c>
      <c r="N68" s="4">
        <f t="shared" si="20"/>
        <v>125167.66</v>
      </c>
      <c r="O68" s="4" t="s">
        <v>100</v>
      </c>
      <c r="P68" s="4">
        <f t="shared" si="21"/>
        <v>1285.79</v>
      </c>
      <c r="Q68" s="4" t="s">
        <v>100</v>
      </c>
      <c r="R68" s="4">
        <f t="shared" si="22"/>
        <v>123600</v>
      </c>
      <c r="S68" s="4" t="s">
        <v>100</v>
      </c>
      <c r="T68" s="4">
        <f t="shared" si="23"/>
        <v>122853.9</v>
      </c>
      <c r="U68" s="4" t="s">
        <v>100</v>
      </c>
      <c r="V68" s="4">
        <f t="shared" si="24"/>
        <v>124383.39</v>
      </c>
      <c r="W68" s="4" t="s">
        <v>100</v>
      </c>
      <c r="X68" s="4">
        <f t="shared" si="25"/>
        <v>1224.45</v>
      </c>
      <c r="Y68" s="4" t="s">
        <v>100</v>
      </c>
      <c r="Z68" s="4">
        <f t="shared" si="26"/>
        <v>122900.4</v>
      </c>
      <c r="AA68" s="4" t="s">
        <v>100</v>
      </c>
      <c r="AB68" s="4">
        <f t="shared" si="27"/>
        <v>124407.4</v>
      </c>
      <c r="AC68" s="4" t="s">
        <v>100</v>
      </c>
      <c r="AD68" s="4">
        <f t="shared" si="28"/>
        <v>125496.94</v>
      </c>
      <c r="AE68" s="4" t="s">
        <v>100</v>
      </c>
      <c r="AF68" s="4">
        <f t="shared" si="29"/>
        <v>1166.3</v>
      </c>
      <c r="AG68" s="4" t="s">
        <v>100</v>
      </c>
      <c r="AH68" s="4">
        <f t="shared" si="30"/>
        <v>124466.8</v>
      </c>
      <c r="AI68" s="6" t="s">
        <v>102</v>
      </c>
    </row>
    <row r="69" spans="1:35">
      <c r="A69" s="4">
        <f t="shared" si="0"/>
        <v>114372.69</v>
      </c>
      <c r="B69" s="4" t="s">
        <v>68</v>
      </c>
      <c r="C69" s="4" t="s">
        <v>100</v>
      </c>
      <c r="D69" s="4">
        <f t="shared" si="1"/>
        <v>114372.69</v>
      </c>
      <c r="E69" s="4" t="s">
        <v>100</v>
      </c>
      <c r="F69" s="4">
        <f t="shared" si="2"/>
        <v>115674.54</v>
      </c>
      <c r="G69" s="4" t="s">
        <v>100</v>
      </c>
      <c r="H69" s="4">
        <f t="shared" si="17"/>
        <v>1425.97</v>
      </c>
      <c r="I69" s="4" t="s">
        <v>100</v>
      </c>
      <c r="J69" s="4">
        <f t="shared" si="18"/>
        <v>114316.4</v>
      </c>
      <c r="K69" s="4" t="s">
        <v>100</v>
      </c>
      <c r="L69" s="4">
        <f t="shared" si="19"/>
        <v>116254.5</v>
      </c>
      <c r="M69" s="4" t="s">
        <v>100</v>
      </c>
      <c r="N69" s="4">
        <f t="shared" si="20"/>
        <v>118367.87</v>
      </c>
      <c r="O69" s="4" t="s">
        <v>100</v>
      </c>
      <c r="P69" s="4">
        <f t="shared" si="21"/>
        <v>1242.51</v>
      </c>
      <c r="Q69" s="4" t="s">
        <v>100</v>
      </c>
      <c r="R69" s="4">
        <f t="shared" si="22"/>
        <v>116150.6</v>
      </c>
      <c r="S69" s="4" t="s">
        <v>100</v>
      </c>
      <c r="T69" s="4">
        <f t="shared" si="23"/>
        <v>117696.4</v>
      </c>
      <c r="U69" s="4" t="s">
        <v>100</v>
      </c>
      <c r="V69" s="4">
        <f t="shared" si="24"/>
        <v>118764.68</v>
      </c>
      <c r="W69" s="4" t="s">
        <v>100</v>
      </c>
      <c r="X69" s="4">
        <f t="shared" si="25"/>
        <v>1097.75</v>
      </c>
      <c r="Y69" s="4" t="s">
        <v>100</v>
      </c>
      <c r="Z69" s="4">
        <f t="shared" si="26"/>
        <v>117863.3</v>
      </c>
      <c r="AA69" s="4" t="s">
        <v>100</v>
      </c>
      <c r="AB69" s="4">
        <f t="shared" si="27"/>
        <v>118116.8</v>
      </c>
      <c r="AC69" s="4" t="s">
        <v>100</v>
      </c>
      <c r="AD69" s="4">
        <f t="shared" si="28"/>
        <v>119264.55</v>
      </c>
      <c r="AE69" s="4" t="s">
        <v>100</v>
      </c>
      <c r="AF69" s="4">
        <f t="shared" si="29"/>
        <v>999.4</v>
      </c>
      <c r="AG69" s="4" t="s">
        <v>100</v>
      </c>
      <c r="AH69" s="4">
        <f t="shared" si="30"/>
        <v>118314.6</v>
      </c>
      <c r="AI69" s="6" t="s">
        <v>102</v>
      </c>
    </row>
    <row r="70" spans="1:35">
      <c r="A70" s="4">
        <f t="shared" si="0"/>
        <v>181321.26</v>
      </c>
      <c r="B70" s="4" t="s">
        <v>69</v>
      </c>
      <c r="C70" s="4" t="s">
        <v>100</v>
      </c>
      <c r="D70" s="4">
        <f t="shared" si="1"/>
        <v>181321.26</v>
      </c>
      <c r="E70" s="4" t="s">
        <v>100</v>
      </c>
      <c r="F70" s="4">
        <f t="shared" si="2"/>
        <v>182234.31</v>
      </c>
      <c r="G70" s="4" t="s">
        <v>100</v>
      </c>
      <c r="H70" s="4">
        <f t="shared" si="17"/>
        <v>1543.91</v>
      </c>
      <c r="I70" s="4" t="s">
        <v>100</v>
      </c>
      <c r="J70" s="4">
        <f t="shared" si="18"/>
        <v>181231.9</v>
      </c>
      <c r="K70" s="4" t="s">
        <v>100</v>
      </c>
      <c r="L70" s="4">
        <f t="shared" si="19"/>
        <v>183514.7</v>
      </c>
      <c r="M70" s="4" t="s">
        <v>100</v>
      </c>
      <c r="N70" s="4">
        <f t="shared" si="20"/>
        <v>184858.08</v>
      </c>
      <c r="O70" s="4" t="s">
        <v>100</v>
      </c>
      <c r="P70" s="4">
        <f t="shared" si="21"/>
        <v>1365.37</v>
      </c>
      <c r="Q70" s="4" t="s">
        <v>100</v>
      </c>
      <c r="R70" s="4">
        <f t="shared" si="22"/>
        <v>183444.1</v>
      </c>
      <c r="S70" s="4" t="s">
        <v>100</v>
      </c>
      <c r="T70" s="4">
        <f t="shared" si="23"/>
        <v>184327</v>
      </c>
      <c r="U70" s="4" t="s">
        <v>100</v>
      </c>
      <c r="V70" s="4">
        <f t="shared" si="24"/>
        <v>186213.61</v>
      </c>
      <c r="W70" s="4" t="s">
        <v>100</v>
      </c>
      <c r="X70" s="4">
        <f t="shared" si="25"/>
        <v>1142.96</v>
      </c>
      <c r="Y70" s="4" t="s">
        <v>100</v>
      </c>
      <c r="Z70" s="4">
        <f t="shared" si="26"/>
        <v>184212.1</v>
      </c>
      <c r="AA70" s="4" t="s">
        <v>100</v>
      </c>
      <c r="AB70" s="4">
        <f t="shared" si="27"/>
        <v>186034.7</v>
      </c>
      <c r="AC70" s="4" t="s">
        <v>100</v>
      </c>
      <c r="AD70" s="4">
        <f t="shared" si="28"/>
        <v>186976.64000000001</v>
      </c>
      <c r="AE70" s="4" t="s">
        <v>100</v>
      </c>
      <c r="AF70" s="4">
        <f t="shared" si="29"/>
        <v>959.72</v>
      </c>
      <c r="AG70" s="4" t="s">
        <v>100</v>
      </c>
      <c r="AH70" s="4">
        <f t="shared" si="30"/>
        <v>186061.6</v>
      </c>
      <c r="AI70" s="6" t="s">
        <v>102</v>
      </c>
    </row>
    <row r="71" spans="1:35">
      <c r="A71" s="4">
        <f t="shared" ref="A71:A79" si="31">MIN(D71,L71,T71,AB71)</f>
        <v>180282.84</v>
      </c>
      <c r="B71" s="4" t="s">
        <v>70</v>
      </c>
      <c r="C71" s="4" t="s">
        <v>100</v>
      </c>
      <c r="D71" s="4">
        <f t="shared" ref="D71:D79" si="32">D154</f>
        <v>180282.84</v>
      </c>
      <c r="E71" s="4" t="s">
        <v>100</v>
      </c>
      <c r="F71" s="4">
        <f t="shared" ref="F71:F79" si="33">E154</f>
        <v>182310.96</v>
      </c>
      <c r="G71" s="4" t="s">
        <v>100</v>
      </c>
      <c r="H71" s="4">
        <f t="shared" si="17"/>
        <v>1038.2</v>
      </c>
      <c r="I71" s="4" t="s">
        <v>100</v>
      </c>
      <c r="J71" s="4">
        <f t="shared" si="18"/>
        <v>180337.5</v>
      </c>
      <c r="K71" s="4" t="s">
        <v>100</v>
      </c>
      <c r="L71" s="4">
        <f t="shared" si="19"/>
        <v>183297.7</v>
      </c>
      <c r="M71" s="4" t="s">
        <v>100</v>
      </c>
      <c r="N71" s="4">
        <f t="shared" si="20"/>
        <v>185616.78</v>
      </c>
      <c r="O71" s="4" t="s">
        <v>100</v>
      </c>
      <c r="P71" s="4">
        <f t="shared" si="21"/>
        <v>1225.5999999999999</v>
      </c>
      <c r="Q71" s="4" t="s">
        <v>100</v>
      </c>
      <c r="R71" s="4">
        <f t="shared" si="22"/>
        <v>183521</v>
      </c>
      <c r="S71" s="4" t="s">
        <v>100</v>
      </c>
      <c r="T71" s="4">
        <f t="shared" si="23"/>
        <v>183813.5</v>
      </c>
      <c r="U71" s="4" t="s">
        <v>100</v>
      </c>
      <c r="V71" s="4">
        <f t="shared" si="24"/>
        <v>185168.01</v>
      </c>
      <c r="W71" s="4" t="s">
        <v>100</v>
      </c>
      <c r="X71" s="4">
        <f t="shared" si="25"/>
        <v>1185.78</v>
      </c>
      <c r="Y71" s="4" t="s">
        <v>100</v>
      </c>
      <c r="Z71" s="4">
        <f t="shared" si="26"/>
        <v>183772</v>
      </c>
      <c r="AA71" s="4" t="s">
        <v>100</v>
      </c>
      <c r="AB71" s="4">
        <f t="shared" si="27"/>
        <v>185336.2</v>
      </c>
      <c r="AC71" s="4" t="s">
        <v>100</v>
      </c>
      <c r="AD71" s="4">
        <f t="shared" si="28"/>
        <v>186454.64</v>
      </c>
      <c r="AE71" s="4" t="s">
        <v>100</v>
      </c>
      <c r="AF71" s="4">
        <f t="shared" si="29"/>
        <v>1439.33</v>
      </c>
      <c r="AG71" s="4" t="s">
        <v>100</v>
      </c>
      <c r="AH71" s="4">
        <f t="shared" si="30"/>
        <v>185291.4</v>
      </c>
      <c r="AI71" s="6" t="s">
        <v>102</v>
      </c>
    </row>
    <row r="72" spans="1:35">
      <c r="A72" s="4">
        <f t="shared" si="31"/>
        <v>425567.18</v>
      </c>
      <c r="B72" s="4" t="s">
        <v>71</v>
      </c>
      <c r="C72" s="4" t="s">
        <v>100</v>
      </c>
      <c r="D72" s="4">
        <f t="shared" si="32"/>
        <v>425567.18</v>
      </c>
      <c r="E72" s="4" t="s">
        <v>100</v>
      </c>
      <c r="F72" s="4">
        <f t="shared" si="33"/>
        <v>427706.71</v>
      </c>
      <c r="G72" s="4" t="s">
        <v>100</v>
      </c>
      <c r="H72" s="4">
        <f t="shared" si="17"/>
        <v>1183.53</v>
      </c>
      <c r="I72" s="4" t="s">
        <v>100</v>
      </c>
      <c r="J72" s="4">
        <f t="shared" si="18"/>
        <v>425714.7</v>
      </c>
      <c r="K72" s="4" t="s">
        <v>100</v>
      </c>
      <c r="L72" s="4">
        <f t="shared" si="19"/>
        <v>430280</v>
      </c>
      <c r="M72" s="4" t="s">
        <v>100</v>
      </c>
      <c r="N72" s="4">
        <f t="shared" si="20"/>
        <v>432936.85</v>
      </c>
      <c r="O72" s="4" t="s">
        <v>100</v>
      </c>
      <c r="P72" s="4">
        <f t="shared" si="21"/>
        <v>1021.84</v>
      </c>
      <c r="Q72" s="4" t="s">
        <v>100</v>
      </c>
      <c r="R72" s="4">
        <f t="shared" si="22"/>
        <v>430400.1</v>
      </c>
      <c r="S72" s="4" t="s">
        <v>100</v>
      </c>
      <c r="T72" s="4">
        <f t="shared" si="23"/>
        <v>427878.7</v>
      </c>
      <c r="U72" s="4" t="s">
        <v>100</v>
      </c>
      <c r="V72" s="4">
        <f t="shared" si="24"/>
        <v>434553.27</v>
      </c>
      <c r="W72" s="4" t="s">
        <v>100</v>
      </c>
      <c r="X72" s="4">
        <f t="shared" si="25"/>
        <v>1311.87</v>
      </c>
      <c r="Y72" s="4" t="s">
        <v>100</v>
      </c>
      <c r="Z72" s="4">
        <f t="shared" si="26"/>
        <v>427920.1</v>
      </c>
      <c r="AA72" s="4" t="s">
        <v>100</v>
      </c>
      <c r="AB72" s="4">
        <f t="shared" si="27"/>
        <v>433805.1</v>
      </c>
      <c r="AC72" s="4" t="s">
        <v>100</v>
      </c>
      <c r="AD72" s="4">
        <f t="shared" si="28"/>
        <v>439072.17</v>
      </c>
      <c r="AE72" s="4" t="s">
        <v>100</v>
      </c>
      <c r="AF72" s="4">
        <f t="shared" si="29"/>
        <v>1463.13</v>
      </c>
      <c r="AG72" s="4" t="s">
        <v>100</v>
      </c>
      <c r="AH72" s="4">
        <f t="shared" si="30"/>
        <v>434264.5</v>
      </c>
      <c r="AI72" s="6" t="s">
        <v>102</v>
      </c>
    </row>
    <row r="73" spans="1:35">
      <c r="A73" s="4">
        <f t="shared" si="31"/>
        <v>417126.04</v>
      </c>
      <c r="B73" s="4" t="s">
        <v>72</v>
      </c>
      <c r="C73" s="4" t="s">
        <v>100</v>
      </c>
      <c r="D73" s="4">
        <f t="shared" si="32"/>
        <v>417126.04</v>
      </c>
      <c r="E73" s="4" t="s">
        <v>100</v>
      </c>
      <c r="F73" s="4">
        <f t="shared" si="33"/>
        <v>418412.27</v>
      </c>
      <c r="G73" s="4" t="s">
        <v>100</v>
      </c>
      <c r="H73" s="4">
        <f t="shared" si="17"/>
        <v>1205.1300000000001</v>
      </c>
      <c r="I73" s="4" t="s">
        <v>100</v>
      </c>
      <c r="J73" s="4">
        <f t="shared" si="18"/>
        <v>417445.2</v>
      </c>
      <c r="K73" s="4" t="s">
        <v>100</v>
      </c>
      <c r="L73" s="4">
        <f t="shared" si="19"/>
        <v>419300.4</v>
      </c>
      <c r="M73" s="4" t="s">
        <v>100</v>
      </c>
      <c r="N73" s="4">
        <f t="shared" si="20"/>
        <v>423440.7</v>
      </c>
      <c r="O73" s="4" t="s">
        <v>100</v>
      </c>
      <c r="P73" s="4">
        <f t="shared" si="21"/>
        <v>1067.69</v>
      </c>
      <c r="Q73" s="4" t="s">
        <v>100</v>
      </c>
      <c r="R73" s="4">
        <f t="shared" si="22"/>
        <v>419659.2</v>
      </c>
      <c r="S73" s="4" t="s">
        <v>100</v>
      </c>
      <c r="T73" s="4">
        <f t="shared" si="23"/>
        <v>422197.3</v>
      </c>
      <c r="U73" s="4" t="s">
        <v>100</v>
      </c>
      <c r="V73" s="4">
        <f t="shared" si="24"/>
        <v>425011.93</v>
      </c>
      <c r="W73" s="4" t="s">
        <v>100</v>
      </c>
      <c r="X73" s="4">
        <f t="shared" si="25"/>
        <v>1288.42</v>
      </c>
      <c r="Y73" s="4" t="s">
        <v>100</v>
      </c>
      <c r="Z73" s="4">
        <f t="shared" si="26"/>
        <v>422363.7</v>
      </c>
      <c r="AA73" s="4" t="s">
        <v>100</v>
      </c>
      <c r="AB73" s="4">
        <f t="shared" si="27"/>
        <v>426232</v>
      </c>
      <c r="AC73" s="4" t="s">
        <v>100</v>
      </c>
      <c r="AD73" s="4">
        <f t="shared" si="28"/>
        <v>428225.13</v>
      </c>
      <c r="AE73" s="4" t="s">
        <v>100</v>
      </c>
      <c r="AF73" s="4">
        <f t="shared" si="29"/>
        <v>1318.33</v>
      </c>
      <c r="AG73" s="4" t="s">
        <v>100</v>
      </c>
      <c r="AH73" s="4">
        <f t="shared" si="30"/>
        <v>426270.1</v>
      </c>
      <c r="AI73" s="6" t="s">
        <v>102</v>
      </c>
    </row>
    <row r="74" spans="1:35">
      <c r="A74" s="4">
        <f t="shared" si="31"/>
        <v>531970.13</v>
      </c>
      <c r="B74" s="4" t="s">
        <v>73</v>
      </c>
      <c r="C74" s="4" t="s">
        <v>100</v>
      </c>
      <c r="D74" s="4">
        <f t="shared" si="32"/>
        <v>531970.13</v>
      </c>
      <c r="E74" s="4" t="s">
        <v>100</v>
      </c>
      <c r="F74" s="4">
        <f t="shared" si="33"/>
        <v>534372.97</v>
      </c>
      <c r="G74" s="4" t="s">
        <v>100</v>
      </c>
      <c r="H74" s="4">
        <f t="shared" si="17"/>
        <v>1252.19</v>
      </c>
      <c r="I74" s="4" t="s">
        <v>100</v>
      </c>
      <c r="J74" s="4">
        <f t="shared" si="18"/>
        <v>531943.30000000005</v>
      </c>
      <c r="K74" s="4" t="s">
        <v>100</v>
      </c>
      <c r="L74" s="4">
        <f t="shared" si="19"/>
        <v>536376.6</v>
      </c>
      <c r="M74" s="4" t="s">
        <v>100</v>
      </c>
      <c r="N74" s="4">
        <f t="shared" si="20"/>
        <v>538181.81999999995</v>
      </c>
      <c r="O74" s="4" t="s">
        <v>100</v>
      </c>
      <c r="P74" s="4">
        <f t="shared" si="21"/>
        <v>684.1</v>
      </c>
      <c r="Q74" s="4" t="s">
        <v>100</v>
      </c>
      <c r="R74" s="4">
        <f t="shared" si="22"/>
        <v>536289.6</v>
      </c>
      <c r="S74" s="4" t="s">
        <v>100</v>
      </c>
      <c r="T74" s="4">
        <f t="shared" si="23"/>
        <v>538146.4</v>
      </c>
      <c r="U74" s="4" t="s">
        <v>100</v>
      </c>
      <c r="V74" s="4">
        <f t="shared" si="24"/>
        <v>539889.11</v>
      </c>
      <c r="W74" s="4" t="s">
        <v>100</v>
      </c>
      <c r="X74" s="4">
        <f t="shared" si="25"/>
        <v>1352.54</v>
      </c>
      <c r="Y74" s="4" t="s">
        <v>100</v>
      </c>
      <c r="Z74" s="4">
        <f t="shared" si="26"/>
        <v>538061.6</v>
      </c>
      <c r="AA74" s="4" t="s">
        <v>100</v>
      </c>
      <c r="AB74" s="4">
        <f t="shared" si="27"/>
        <v>540524.4</v>
      </c>
      <c r="AC74" s="4" t="s">
        <v>100</v>
      </c>
      <c r="AD74" s="4">
        <f t="shared" si="28"/>
        <v>550848.01</v>
      </c>
      <c r="AE74" s="4" t="s">
        <v>100</v>
      </c>
      <c r="AF74" s="4">
        <f t="shared" si="29"/>
        <v>1711.92</v>
      </c>
      <c r="AG74" s="4" t="s">
        <v>100</v>
      </c>
      <c r="AH74" s="4">
        <f t="shared" si="30"/>
        <v>540501.1</v>
      </c>
      <c r="AI74" s="6" t="s">
        <v>102</v>
      </c>
    </row>
    <row r="75" spans="1:35">
      <c r="A75" s="4">
        <f t="shared" si="31"/>
        <v>532976.86</v>
      </c>
      <c r="B75" s="4" t="s">
        <v>74</v>
      </c>
      <c r="C75" s="4" t="s">
        <v>100</v>
      </c>
      <c r="D75" s="4">
        <f t="shared" si="32"/>
        <v>532976.86</v>
      </c>
      <c r="E75" s="4" t="s">
        <v>100</v>
      </c>
      <c r="F75" s="4">
        <f t="shared" si="33"/>
        <v>535436.84</v>
      </c>
      <c r="G75" s="4" t="s">
        <v>100</v>
      </c>
      <c r="H75" s="4">
        <f t="shared" si="17"/>
        <v>1136.58</v>
      </c>
      <c r="I75" s="4" t="s">
        <v>100</v>
      </c>
      <c r="J75" s="4">
        <f t="shared" si="18"/>
        <v>533136.6</v>
      </c>
      <c r="K75" s="4" t="s">
        <v>100</v>
      </c>
      <c r="L75" s="4">
        <f t="shared" si="19"/>
        <v>539582.80000000005</v>
      </c>
      <c r="M75" s="4" t="s">
        <v>100</v>
      </c>
      <c r="N75" s="4">
        <f t="shared" si="20"/>
        <v>540844.06000000006</v>
      </c>
      <c r="O75" s="4" t="s">
        <v>100</v>
      </c>
      <c r="P75" s="4">
        <f t="shared" si="21"/>
        <v>1178.3</v>
      </c>
      <c r="Q75" s="4" t="s">
        <v>100</v>
      </c>
      <c r="R75" s="4">
        <f t="shared" si="22"/>
        <v>539615.9</v>
      </c>
      <c r="S75" s="4" t="s">
        <v>100</v>
      </c>
      <c r="T75" s="4">
        <f t="shared" si="23"/>
        <v>538982.30000000005</v>
      </c>
      <c r="U75" s="4" t="s">
        <v>100</v>
      </c>
      <c r="V75" s="4">
        <f t="shared" si="24"/>
        <v>542276.1</v>
      </c>
      <c r="W75" s="4" t="s">
        <v>100</v>
      </c>
      <c r="X75" s="4">
        <f t="shared" si="25"/>
        <v>1192.9100000000001</v>
      </c>
      <c r="Y75" s="4" t="s">
        <v>100</v>
      </c>
      <c r="Z75" s="4">
        <f t="shared" si="26"/>
        <v>538753.19999999995</v>
      </c>
      <c r="AA75" s="4" t="s">
        <v>100</v>
      </c>
      <c r="AB75" s="4">
        <f t="shared" si="27"/>
        <v>539400.9</v>
      </c>
      <c r="AC75" s="4" t="s">
        <v>100</v>
      </c>
      <c r="AD75" s="4">
        <f t="shared" si="28"/>
        <v>552551.04</v>
      </c>
      <c r="AE75" s="4" t="s">
        <v>100</v>
      </c>
      <c r="AF75" s="4">
        <f t="shared" si="29"/>
        <v>1770.89</v>
      </c>
      <c r="AG75" s="4" t="s">
        <v>100</v>
      </c>
      <c r="AH75" s="4">
        <f t="shared" si="30"/>
        <v>539120.1</v>
      </c>
      <c r="AI75" s="6" t="s">
        <v>102</v>
      </c>
    </row>
    <row r="76" spans="1:35">
      <c r="A76" s="4">
        <f t="shared" si="31"/>
        <v>1096037.7</v>
      </c>
      <c r="B76" s="4" t="s">
        <v>75</v>
      </c>
      <c r="C76" s="4" t="s">
        <v>100</v>
      </c>
      <c r="D76" s="4">
        <f t="shared" si="32"/>
        <v>1096037.7</v>
      </c>
      <c r="E76" s="4" t="s">
        <v>100</v>
      </c>
      <c r="F76" s="4">
        <f t="shared" si="33"/>
        <v>1098380.31</v>
      </c>
      <c r="G76" s="4" t="s">
        <v>100</v>
      </c>
      <c r="H76" s="4">
        <f t="shared" si="17"/>
        <v>1121.46</v>
      </c>
      <c r="I76" s="4" t="s">
        <v>100</v>
      </c>
      <c r="J76" s="4">
        <f t="shared" si="18"/>
        <v>1095927.7</v>
      </c>
      <c r="K76" s="4" t="s">
        <v>100</v>
      </c>
      <c r="L76" s="4">
        <f t="shared" si="19"/>
        <v>1104855.6000000001</v>
      </c>
      <c r="M76" s="4" t="s">
        <v>100</v>
      </c>
      <c r="N76" s="4">
        <f t="shared" si="20"/>
        <v>1107698.1100000001</v>
      </c>
      <c r="O76" s="4" t="s">
        <v>100</v>
      </c>
      <c r="P76" s="4">
        <f t="shared" si="21"/>
        <v>1025.08</v>
      </c>
      <c r="Q76" s="4" t="s">
        <v>100</v>
      </c>
      <c r="R76" s="4">
        <f t="shared" si="22"/>
        <v>1104757.3999999999</v>
      </c>
      <c r="S76" s="4" t="s">
        <v>100</v>
      </c>
      <c r="T76" s="4">
        <f t="shared" si="23"/>
        <v>1121563.6000000001</v>
      </c>
      <c r="U76" s="4" t="s">
        <v>100</v>
      </c>
      <c r="V76" s="4">
        <f t="shared" si="24"/>
        <v>1142961.17</v>
      </c>
      <c r="W76" s="4" t="s">
        <v>100</v>
      </c>
      <c r="X76" s="4">
        <f t="shared" si="25"/>
        <v>2288.61</v>
      </c>
      <c r="Y76" s="4" t="s">
        <v>100</v>
      </c>
      <c r="Z76" s="4">
        <f t="shared" si="26"/>
        <v>1121165.2</v>
      </c>
      <c r="AA76" s="4" t="s">
        <v>100</v>
      </c>
      <c r="AB76" s="4">
        <f t="shared" si="27"/>
        <v>1171623.3999999999</v>
      </c>
      <c r="AC76" s="4" t="s">
        <v>100</v>
      </c>
      <c r="AD76" s="4">
        <f t="shared" si="28"/>
        <v>1210631.8400000001</v>
      </c>
      <c r="AE76" s="4" t="s">
        <v>100</v>
      </c>
      <c r="AF76" s="4">
        <f t="shared" si="29"/>
        <v>3492.25</v>
      </c>
      <c r="AG76" s="4" t="s">
        <v>100</v>
      </c>
      <c r="AH76" s="4">
        <f t="shared" si="30"/>
        <v>1171464</v>
      </c>
      <c r="AI76" s="6" t="s">
        <v>102</v>
      </c>
    </row>
    <row r="77" spans="1:35">
      <c r="A77" s="4">
        <f t="shared" si="31"/>
        <v>1098289.2</v>
      </c>
      <c r="B77" s="4" t="s">
        <v>76</v>
      </c>
      <c r="C77" s="4" t="s">
        <v>100</v>
      </c>
      <c r="D77" s="4">
        <f t="shared" si="32"/>
        <v>1098289.2</v>
      </c>
      <c r="E77" s="4" t="s">
        <v>100</v>
      </c>
      <c r="F77" s="4">
        <f t="shared" si="33"/>
        <v>1100530.49</v>
      </c>
      <c r="G77" s="4" t="s">
        <v>100</v>
      </c>
      <c r="H77" s="4">
        <f t="shared" si="17"/>
        <v>1185.06</v>
      </c>
      <c r="I77" s="4" t="s">
        <v>100</v>
      </c>
      <c r="J77" s="4">
        <f t="shared" si="18"/>
        <v>1098116.3999999999</v>
      </c>
      <c r="K77" s="4" t="s">
        <v>100</v>
      </c>
      <c r="L77" s="4">
        <f t="shared" si="19"/>
        <v>1105294.6000000001</v>
      </c>
      <c r="M77" s="4" t="s">
        <v>100</v>
      </c>
      <c r="N77" s="4">
        <f t="shared" si="20"/>
        <v>1108670.92</v>
      </c>
      <c r="O77" s="4" t="s">
        <v>100</v>
      </c>
      <c r="P77" s="4">
        <f t="shared" si="21"/>
        <v>972.05</v>
      </c>
      <c r="Q77" s="4" t="s">
        <v>100</v>
      </c>
      <c r="R77" s="4">
        <f t="shared" si="22"/>
        <v>1105334.3999999999</v>
      </c>
      <c r="S77" s="4" t="s">
        <v>100</v>
      </c>
      <c r="T77" s="4">
        <f t="shared" si="23"/>
        <v>1126571.3</v>
      </c>
      <c r="U77" s="4" t="s">
        <v>100</v>
      </c>
      <c r="V77" s="4">
        <f t="shared" si="24"/>
        <v>1161996.6000000001</v>
      </c>
      <c r="W77" s="4" t="s">
        <v>100</v>
      </c>
      <c r="X77" s="4">
        <f t="shared" si="25"/>
        <v>2541.0500000000002</v>
      </c>
      <c r="Y77" s="4" t="s">
        <v>100</v>
      </c>
      <c r="Z77" s="4">
        <f t="shared" si="26"/>
        <v>1126461.6000000001</v>
      </c>
      <c r="AA77" s="4" t="s">
        <v>100</v>
      </c>
      <c r="AB77" s="4">
        <f t="shared" si="27"/>
        <v>1172733.8</v>
      </c>
      <c r="AC77" s="4" t="s">
        <v>100</v>
      </c>
      <c r="AD77" s="4">
        <f t="shared" si="28"/>
        <v>1200447.92</v>
      </c>
      <c r="AE77" s="4" t="s">
        <v>100</v>
      </c>
      <c r="AF77" s="4">
        <f t="shared" si="29"/>
        <v>3887.53</v>
      </c>
      <c r="AG77" s="4" t="s">
        <v>100</v>
      </c>
      <c r="AH77" s="4">
        <f t="shared" si="30"/>
        <v>1172570.8999999999</v>
      </c>
      <c r="AI77" s="6" t="s">
        <v>102</v>
      </c>
    </row>
    <row r="78" spans="1:35">
      <c r="A78" s="4">
        <f t="shared" si="31"/>
        <v>2230299.83</v>
      </c>
      <c r="B78" s="4" t="s">
        <v>77</v>
      </c>
      <c r="C78" s="4" t="s">
        <v>100</v>
      </c>
      <c r="D78" s="4">
        <f t="shared" si="32"/>
        <v>2230299.83</v>
      </c>
      <c r="E78" s="4" t="s">
        <v>100</v>
      </c>
      <c r="F78" s="4">
        <f t="shared" si="33"/>
        <v>2235966.9700000002</v>
      </c>
      <c r="G78" s="4" t="s">
        <v>100</v>
      </c>
      <c r="H78" s="4">
        <f t="shared" si="17"/>
        <v>856.97</v>
      </c>
      <c r="I78" s="4" t="s">
        <v>100</v>
      </c>
      <c r="J78" s="4">
        <f t="shared" si="18"/>
        <v>2229970.4</v>
      </c>
      <c r="K78" s="4" t="s">
        <v>100</v>
      </c>
      <c r="L78" s="4">
        <f t="shared" si="19"/>
        <v>2243621.7999999998</v>
      </c>
      <c r="M78" s="4" t="s">
        <v>100</v>
      </c>
      <c r="N78" s="4">
        <f t="shared" si="20"/>
        <v>2245878.0099999998</v>
      </c>
      <c r="O78" s="4" t="s">
        <v>100</v>
      </c>
      <c r="P78" s="4">
        <f t="shared" si="21"/>
        <v>721.69</v>
      </c>
      <c r="Q78" s="4" t="s">
        <v>100</v>
      </c>
      <c r="R78" s="4">
        <f t="shared" si="22"/>
        <v>2243292.7999999998</v>
      </c>
      <c r="S78" s="4" t="s">
        <v>100</v>
      </c>
      <c r="T78" s="4">
        <f t="shared" si="23"/>
        <v>2340771</v>
      </c>
      <c r="U78" s="4" t="s">
        <v>100</v>
      </c>
      <c r="V78" s="4">
        <f t="shared" si="24"/>
        <v>2397956.2200000002</v>
      </c>
      <c r="W78" s="4" t="s">
        <v>100</v>
      </c>
      <c r="X78" s="4">
        <f t="shared" si="25"/>
        <v>5126.92</v>
      </c>
      <c r="Y78" s="4" t="s">
        <v>100</v>
      </c>
      <c r="Z78" s="4">
        <f t="shared" si="26"/>
        <v>2340610.6</v>
      </c>
      <c r="AA78" s="4" t="s">
        <v>100</v>
      </c>
      <c r="AB78" s="4">
        <f t="shared" si="27"/>
        <v>2340771</v>
      </c>
      <c r="AC78" s="4" t="s">
        <v>100</v>
      </c>
      <c r="AD78" s="4">
        <f t="shared" si="28"/>
        <v>2397956.2200000002</v>
      </c>
      <c r="AE78" s="4" t="s">
        <v>100</v>
      </c>
      <c r="AF78" s="4">
        <f t="shared" si="29"/>
        <v>8312.82</v>
      </c>
      <c r="AG78" s="4" t="s">
        <v>100</v>
      </c>
      <c r="AH78" s="4">
        <f t="shared" si="30"/>
        <v>2340610.6</v>
      </c>
      <c r="AI78" s="6" t="s">
        <v>102</v>
      </c>
    </row>
    <row r="79" spans="1:35">
      <c r="A79" s="4">
        <f t="shared" si="31"/>
        <v>2239781.38</v>
      </c>
      <c r="B79" s="4" t="s">
        <v>78</v>
      </c>
      <c r="C79" s="4" t="s">
        <v>100</v>
      </c>
      <c r="D79" s="4">
        <f t="shared" si="32"/>
        <v>2239781.38</v>
      </c>
      <c r="E79" s="4" t="s">
        <v>100</v>
      </c>
      <c r="F79" s="4">
        <f t="shared" si="33"/>
        <v>2244886.98</v>
      </c>
      <c r="G79" s="4" t="s">
        <v>100</v>
      </c>
      <c r="H79" s="4">
        <f t="shared" si="17"/>
        <v>868.4</v>
      </c>
      <c r="I79" s="4" t="s">
        <v>100</v>
      </c>
      <c r="J79" s="4">
        <f t="shared" si="18"/>
        <v>2239764.5</v>
      </c>
      <c r="K79" s="4" t="s">
        <v>100</v>
      </c>
      <c r="L79" s="4">
        <f t="shared" si="19"/>
        <v>2249184.4</v>
      </c>
      <c r="M79" s="4" t="s">
        <v>100</v>
      </c>
      <c r="N79" s="4">
        <f t="shared" si="20"/>
        <v>2252212.54</v>
      </c>
      <c r="O79" s="4" t="s">
        <v>100</v>
      </c>
      <c r="P79" s="4">
        <f t="shared" si="21"/>
        <v>1305.1600000000001</v>
      </c>
      <c r="Q79" s="4" t="s">
        <v>100</v>
      </c>
      <c r="R79" s="4">
        <f t="shared" si="22"/>
        <v>2248922.2999999998</v>
      </c>
      <c r="S79" s="4" t="s">
        <v>100</v>
      </c>
      <c r="T79" s="4">
        <f t="shared" si="23"/>
        <v>2407298.7999999998</v>
      </c>
      <c r="U79" s="4" t="s">
        <v>100</v>
      </c>
      <c r="V79" s="4">
        <f t="shared" si="24"/>
        <v>2442178.64</v>
      </c>
      <c r="W79" s="4" t="s">
        <v>100</v>
      </c>
      <c r="X79" s="4">
        <f t="shared" si="25"/>
        <v>6456.42</v>
      </c>
      <c r="Y79" s="4" t="s">
        <v>100</v>
      </c>
      <c r="Z79" s="4">
        <f t="shared" si="26"/>
        <v>2406960.4</v>
      </c>
      <c r="AA79" s="4" t="s">
        <v>100</v>
      </c>
      <c r="AB79" s="4">
        <f t="shared" si="27"/>
        <v>2407298.7999999998</v>
      </c>
      <c r="AC79" s="4" t="s">
        <v>100</v>
      </c>
      <c r="AD79" s="4">
        <f t="shared" si="28"/>
        <v>2442178.64</v>
      </c>
      <c r="AE79" s="4" t="s">
        <v>100</v>
      </c>
      <c r="AF79" s="4">
        <f t="shared" si="29"/>
        <v>9953.2999999999993</v>
      </c>
      <c r="AG79" s="4" t="s">
        <v>100</v>
      </c>
      <c r="AH79" s="4">
        <f t="shared" si="30"/>
        <v>2406960.4</v>
      </c>
      <c r="AI79" s="6" t="s">
        <v>102</v>
      </c>
    </row>
    <row r="88" spans="4:32">
      <c r="W88" s="4" t="s">
        <v>131</v>
      </c>
      <c r="AC88" s="4" t="s">
        <v>132</v>
      </c>
    </row>
    <row r="89" spans="4:32">
      <c r="D89" s="4">
        <v>5441.25</v>
      </c>
      <c r="E89" s="4">
        <v>5441.25</v>
      </c>
      <c r="F89" s="4">
        <v>8.76</v>
      </c>
      <c r="G89" s="4">
        <v>5443.3</v>
      </c>
      <c r="H89" s="4">
        <v>5443.3</v>
      </c>
      <c r="I89" s="4">
        <v>6181.1</v>
      </c>
      <c r="J89" s="4">
        <v>6181.15</v>
      </c>
      <c r="K89" s="4">
        <v>0.14000000000000001</v>
      </c>
      <c r="L89" s="4">
        <v>6150.9</v>
      </c>
      <c r="M89" s="4">
        <v>5443.2</v>
      </c>
      <c r="N89" s="4">
        <v>5450.73</v>
      </c>
      <c r="O89" s="4">
        <v>21.38</v>
      </c>
      <c r="P89" s="4">
        <v>5445.3</v>
      </c>
      <c r="Q89" s="4">
        <v>5443.2</v>
      </c>
      <c r="R89" s="4">
        <v>5454.89</v>
      </c>
      <c r="S89" s="4">
        <v>60.11</v>
      </c>
      <c r="T89" s="4">
        <v>5445.3</v>
      </c>
      <c r="W89" s="4">
        <v>0</v>
      </c>
      <c r="X89" s="4">
        <v>13.597059499195963</v>
      </c>
      <c r="Y89" s="4">
        <v>3.5837353549273018E-2</v>
      </c>
      <c r="Z89" s="4">
        <v>3.5837353549273018E-2</v>
      </c>
      <c r="AC89" s="17">
        <v>0</v>
      </c>
      <c r="AD89" s="18">
        <v>13.597978405697214</v>
      </c>
      <c r="AE89" s="18">
        <v>0.17422467263955091</v>
      </c>
      <c r="AF89" s="19">
        <v>0.25067769354468783</v>
      </c>
    </row>
    <row r="90" spans="4:32">
      <c r="D90" s="4">
        <v>7533.59</v>
      </c>
      <c r="E90" s="4">
        <v>7533.59</v>
      </c>
      <c r="F90" s="4">
        <v>2.09</v>
      </c>
      <c r="G90" s="4">
        <v>7528.4</v>
      </c>
      <c r="H90" s="4">
        <v>7528.4</v>
      </c>
      <c r="I90" s="4">
        <v>7744.4</v>
      </c>
      <c r="J90" s="4">
        <v>7744.35</v>
      </c>
      <c r="K90" s="4">
        <v>6.08</v>
      </c>
      <c r="L90" s="4">
        <v>7725.7</v>
      </c>
      <c r="M90" s="4">
        <v>7533.6</v>
      </c>
      <c r="N90" s="4">
        <v>7533.63</v>
      </c>
      <c r="O90" s="4">
        <v>6.21</v>
      </c>
      <c r="P90" s="4">
        <v>7528.4</v>
      </c>
      <c r="Q90" s="4">
        <v>7533.6</v>
      </c>
      <c r="R90" s="4">
        <v>7533.63</v>
      </c>
      <c r="S90" s="4">
        <v>11.06</v>
      </c>
      <c r="T90" s="4">
        <v>7528.4</v>
      </c>
      <c r="W90" s="4">
        <v>0</v>
      </c>
      <c r="X90" s="4">
        <v>2.7982674926562168</v>
      </c>
      <c r="Y90" s="4">
        <v>1.3273884031674512E-4</v>
      </c>
      <c r="Z90" s="4">
        <v>1.3273884031674512E-4</v>
      </c>
      <c r="AC90" s="20">
        <v>0</v>
      </c>
      <c r="AD90" s="4">
        <v>2.7976037984546571</v>
      </c>
      <c r="AE90" s="4">
        <v>5.3095536125490799E-4</v>
      </c>
      <c r="AF90" s="21">
        <v>5.3095536125490799E-4</v>
      </c>
    </row>
    <row r="91" spans="4:32">
      <c r="D91" s="4">
        <v>10019</v>
      </c>
      <c r="E91" s="4">
        <v>10019</v>
      </c>
      <c r="F91" s="4">
        <v>14.54</v>
      </c>
      <c r="G91" s="4">
        <v>10019</v>
      </c>
      <c r="H91" s="4">
        <v>10019</v>
      </c>
      <c r="I91" s="4">
        <v>10027.9</v>
      </c>
      <c r="J91" s="4">
        <v>10027.93</v>
      </c>
      <c r="K91" s="4">
        <v>103.25</v>
      </c>
      <c r="L91" s="4">
        <v>10027.9</v>
      </c>
      <c r="M91" s="4">
        <v>10023.1</v>
      </c>
      <c r="N91" s="4">
        <v>10023.540000000001</v>
      </c>
      <c r="O91" s="4">
        <v>4.37</v>
      </c>
      <c r="P91" s="4">
        <v>10020.9</v>
      </c>
      <c r="Q91" s="4">
        <v>10023.1</v>
      </c>
      <c r="R91" s="4">
        <v>10024.4</v>
      </c>
      <c r="S91" s="4">
        <v>11.01</v>
      </c>
      <c r="T91" s="4">
        <v>10020.9</v>
      </c>
      <c r="W91" s="4">
        <v>0</v>
      </c>
      <c r="X91" s="4">
        <v>8.8831220680703038E-2</v>
      </c>
      <c r="Y91" s="4">
        <v>4.0922247729317934E-2</v>
      </c>
      <c r="Z91" s="4">
        <v>4.0922247729317934E-2</v>
      </c>
      <c r="AC91" s="20">
        <v>0</v>
      </c>
      <c r="AD91" s="4">
        <v>8.9130651761655758E-2</v>
      </c>
      <c r="AE91" s="4">
        <v>4.531390358320065E-2</v>
      </c>
      <c r="AF91" s="21">
        <v>5.3897594570312769E-2</v>
      </c>
    </row>
    <row r="92" spans="4:32">
      <c r="D92" s="4">
        <v>13226.2</v>
      </c>
      <c r="E92" s="4">
        <v>13226.2</v>
      </c>
      <c r="F92" s="4">
        <v>42.53</v>
      </c>
      <c r="G92" s="4">
        <v>13227.1</v>
      </c>
      <c r="H92" s="4">
        <v>13227.1</v>
      </c>
      <c r="I92" s="4">
        <v>13751.4</v>
      </c>
      <c r="J92" s="4">
        <v>13751.43</v>
      </c>
      <c r="K92" s="4">
        <v>14.3</v>
      </c>
      <c r="L92" s="4">
        <v>13762</v>
      </c>
      <c r="M92" s="4">
        <v>13238.3</v>
      </c>
      <c r="N92" s="4">
        <v>13238.3</v>
      </c>
      <c r="O92" s="4">
        <v>37.409999999999997</v>
      </c>
      <c r="P92" s="4">
        <v>13238.1</v>
      </c>
      <c r="Q92" s="4">
        <v>13238.3</v>
      </c>
      <c r="R92" s="4">
        <v>13238.3</v>
      </c>
      <c r="S92" s="4">
        <v>130.21</v>
      </c>
      <c r="T92" s="4">
        <v>13238.1</v>
      </c>
      <c r="W92" s="4">
        <v>0</v>
      </c>
      <c r="X92" s="4">
        <v>3.9709062315706616</v>
      </c>
      <c r="Y92" s="4">
        <v>9.1485082638993395E-2</v>
      </c>
      <c r="Z92" s="4">
        <v>9.1485082638993395E-2</v>
      </c>
      <c r="AC92" s="20">
        <v>0</v>
      </c>
      <c r="AD92" s="4">
        <v>3.9711330540896066</v>
      </c>
      <c r="AE92" s="4">
        <v>9.1485082638993395E-2</v>
      </c>
      <c r="AF92" s="21">
        <v>9.1485082638993395E-2</v>
      </c>
    </row>
    <row r="93" spans="4:32">
      <c r="D93" s="4">
        <v>17695</v>
      </c>
      <c r="E93" s="4">
        <v>17695</v>
      </c>
      <c r="F93" s="4">
        <v>128.78</v>
      </c>
      <c r="G93" s="4">
        <v>17695</v>
      </c>
      <c r="H93" s="4">
        <v>17695</v>
      </c>
      <c r="I93" s="4">
        <v>18191.5</v>
      </c>
      <c r="J93" s="4">
        <v>18219.96</v>
      </c>
      <c r="K93" s="4">
        <v>178.79</v>
      </c>
      <c r="L93" s="4">
        <v>18191.400000000001</v>
      </c>
      <c r="M93" s="4">
        <v>17695</v>
      </c>
      <c r="N93" s="4">
        <v>17695</v>
      </c>
      <c r="O93" s="4">
        <v>88.32</v>
      </c>
      <c r="P93" s="4">
        <v>17695</v>
      </c>
      <c r="Q93" s="4">
        <v>17695</v>
      </c>
      <c r="R93" s="4">
        <v>17695</v>
      </c>
      <c r="S93" s="4">
        <v>296.08</v>
      </c>
      <c r="T93" s="4">
        <v>17695</v>
      </c>
      <c r="W93" s="4">
        <v>0</v>
      </c>
      <c r="X93" s="4">
        <v>2.8058773664877084</v>
      </c>
      <c r="Y93" s="4">
        <v>0</v>
      </c>
      <c r="Z93" s="4">
        <v>0</v>
      </c>
      <c r="AC93" s="20">
        <v>0</v>
      </c>
      <c r="AD93" s="4">
        <v>2.9667137609494159</v>
      </c>
      <c r="AE93" s="4">
        <v>0</v>
      </c>
      <c r="AF93" s="21">
        <v>0</v>
      </c>
    </row>
    <row r="94" spans="4:32">
      <c r="D94" s="4">
        <v>17805.75</v>
      </c>
      <c r="E94" s="4">
        <v>17805.75</v>
      </c>
      <c r="F94" s="4">
        <v>176.61</v>
      </c>
      <c r="G94" s="4">
        <v>17794.8</v>
      </c>
      <c r="H94" s="4">
        <v>17794.8</v>
      </c>
      <c r="I94" s="4">
        <v>18087.5</v>
      </c>
      <c r="J94" s="4">
        <v>18092.650000000001</v>
      </c>
      <c r="K94" s="4">
        <v>614.66</v>
      </c>
      <c r="L94" s="4">
        <v>18075.3</v>
      </c>
      <c r="M94" s="4">
        <v>17805.8</v>
      </c>
      <c r="N94" s="4">
        <v>17805.810000000001</v>
      </c>
      <c r="O94" s="4">
        <v>506.49</v>
      </c>
      <c r="P94" s="4">
        <v>17794.8</v>
      </c>
      <c r="Q94" s="4">
        <v>17805.8</v>
      </c>
      <c r="R94" s="4">
        <v>17806.060000000001</v>
      </c>
      <c r="S94" s="4">
        <v>519.94000000000005</v>
      </c>
      <c r="T94" s="4">
        <v>17794.8</v>
      </c>
      <c r="W94" s="4">
        <v>0</v>
      </c>
      <c r="X94" s="4">
        <v>1.5823540148547519</v>
      </c>
      <c r="Y94" s="4">
        <v>2.8080816589737815E-4</v>
      </c>
      <c r="Z94" s="4">
        <v>2.8080816589737815E-4</v>
      </c>
      <c r="AC94" s="20">
        <v>0</v>
      </c>
      <c r="AD94" s="4">
        <v>1.611277255942611</v>
      </c>
      <c r="AE94" s="4">
        <v>3.3696979908911265E-4</v>
      </c>
      <c r="AF94" s="21">
        <v>1.7410106285964348E-3</v>
      </c>
    </row>
    <row r="95" spans="4:32">
      <c r="D95" s="4">
        <v>70463.509999999995</v>
      </c>
      <c r="E95" s="4">
        <v>70464.31</v>
      </c>
      <c r="F95" s="4">
        <v>968.3</v>
      </c>
      <c r="G95" s="4">
        <v>70465.899999999994</v>
      </c>
      <c r="H95" s="4">
        <v>70465.899999999994</v>
      </c>
      <c r="I95" s="4">
        <v>70666.8</v>
      </c>
      <c r="J95" s="4">
        <v>70682.86</v>
      </c>
      <c r="K95" s="4">
        <v>713.61</v>
      </c>
      <c r="L95" s="4">
        <v>70662.399999999994</v>
      </c>
      <c r="M95" s="4">
        <v>70469.8</v>
      </c>
      <c r="N95" s="4">
        <v>70472.259999999995</v>
      </c>
      <c r="O95" s="4">
        <v>464.07</v>
      </c>
      <c r="P95" s="4">
        <v>70471.3</v>
      </c>
      <c r="Q95" s="4">
        <v>70469.8</v>
      </c>
      <c r="R95" s="4">
        <v>70472.320000000007</v>
      </c>
      <c r="S95" s="4">
        <v>752.57</v>
      </c>
      <c r="T95" s="4">
        <v>70471.3</v>
      </c>
      <c r="W95" s="4">
        <v>0</v>
      </c>
      <c r="X95" s="4">
        <v>0.2885039362927112</v>
      </c>
      <c r="Y95" s="4">
        <v>8.9266061256502126E-3</v>
      </c>
      <c r="Z95" s="4">
        <v>8.9266061256502126E-3</v>
      </c>
      <c r="AC95" s="20">
        <v>1.1353394118500631E-3</v>
      </c>
      <c r="AD95" s="4">
        <v>0.31129587498551498</v>
      </c>
      <c r="AE95" s="4">
        <v>1.2417774817064891E-2</v>
      </c>
      <c r="AF95" s="21">
        <v>1.2502925272970682E-2</v>
      </c>
    </row>
    <row r="96" spans="4:32">
      <c r="D96" s="4">
        <v>35221.33</v>
      </c>
      <c r="E96" s="4">
        <v>35222.379999999997</v>
      </c>
      <c r="F96" s="4">
        <v>1192.27</v>
      </c>
      <c r="G96" s="4">
        <v>35227.199999999997</v>
      </c>
      <c r="H96" s="4">
        <v>35227.199999999997</v>
      </c>
      <c r="I96" s="4">
        <v>35920.199999999997</v>
      </c>
      <c r="J96" s="4">
        <v>36061.839999999997</v>
      </c>
      <c r="K96" s="4">
        <v>894.81</v>
      </c>
      <c r="L96" s="4">
        <v>35925.5</v>
      </c>
      <c r="M96" s="4">
        <v>35223.1</v>
      </c>
      <c r="N96" s="4">
        <v>35227.199999999997</v>
      </c>
      <c r="O96" s="4">
        <v>927.08</v>
      </c>
      <c r="P96" s="4">
        <v>35231.300000000003</v>
      </c>
      <c r="Q96" s="4">
        <v>35224.800000000003</v>
      </c>
      <c r="R96" s="4">
        <v>35232.449999999997</v>
      </c>
      <c r="S96" s="4">
        <v>1404.78</v>
      </c>
      <c r="T96" s="4">
        <v>35231.800000000003</v>
      </c>
      <c r="W96" s="4">
        <v>0</v>
      </c>
      <c r="X96" s="4">
        <v>1.9842237644063847</v>
      </c>
      <c r="Y96" s="4">
        <v>5.0253638917008483E-3</v>
      </c>
      <c r="Z96" s="4">
        <v>9.8519845786662914E-3</v>
      </c>
      <c r="AC96" s="20">
        <v>2.9811480713409582E-3</v>
      </c>
      <c r="AD96" s="4">
        <v>2.3863664432887535</v>
      </c>
      <c r="AE96" s="4">
        <v>1.6666037313171716E-2</v>
      </c>
      <c r="AF96" s="21">
        <v>3.1571777669938482E-2</v>
      </c>
    </row>
    <row r="97" spans="4:32">
      <c r="D97" s="4">
        <v>65003.48</v>
      </c>
      <c r="E97" s="4">
        <v>65003.48</v>
      </c>
      <c r="F97" s="4">
        <v>304.02</v>
      </c>
      <c r="G97" s="4">
        <v>65050.5</v>
      </c>
      <c r="H97" s="4">
        <v>65050.5</v>
      </c>
      <c r="I97" s="4">
        <v>65435.9</v>
      </c>
      <c r="J97" s="4">
        <v>65436.55</v>
      </c>
      <c r="K97" s="4">
        <v>210.99</v>
      </c>
      <c r="L97" s="4">
        <v>65433.4</v>
      </c>
      <c r="M97" s="4">
        <v>65004</v>
      </c>
      <c r="N97" s="4">
        <v>65013.7</v>
      </c>
      <c r="O97" s="4">
        <v>736.82</v>
      </c>
      <c r="P97" s="4">
        <v>65011.4</v>
      </c>
      <c r="Q97" s="4">
        <v>65004</v>
      </c>
      <c r="R97" s="4">
        <v>65009.05</v>
      </c>
      <c r="S97" s="4">
        <v>803.23</v>
      </c>
      <c r="T97" s="4">
        <v>65011.4</v>
      </c>
      <c r="W97" s="4">
        <v>0</v>
      </c>
      <c r="X97" s="4">
        <v>0.66522592328902741</v>
      </c>
      <c r="Y97" s="4">
        <v>7.999571715188149E-4</v>
      </c>
      <c r="Z97" s="4">
        <v>7.999571715188149E-4</v>
      </c>
      <c r="AC97" s="20">
        <v>0</v>
      </c>
      <c r="AD97" s="4">
        <v>0.66622586975343423</v>
      </c>
      <c r="AE97" s="4">
        <v>1.57222351787841E-2</v>
      </c>
      <c r="AF97" s="21">
        <v>8.568772010359613E-3</v>
      </c>
    </row>
    <row r="98" spans="4:32">
      <c r="D98" s="4">
        <v>63293.84</v>
      </c>
      <c r="E98" s="4">
        <v>63297.9</v>
      </c>
      <c r="F98" s="4">
        <v>829.87</v>
      </c>
      <c r="G98" s="4">
        <v>63297</v>
      </c>
      <c r="H98" s="4">
        <v>63297</v>
      </c>
      <c r="I98" s="4">
        <v>64528.800000000003</v>
      </c>
      <c r="J98" s="4">
        <v>64716.69</v>
      </c>
      <c r="K98" s="4">
        <v>1174.71</v>
      </c>
      <c r="L98" s="4">
        <v>64533.1</v>
      </c>
      <c r="M98" s="4">
        <v>63297.1</v>
      </c>
      <c r="N98" s="4">
        <v>63311.6</v>
      </c>
      <c r="O98" s="4">
        <v>1350.66</v>
      </c>
      <c r="P98" s="4">
        <v>63301.5</v>
      </c>
      <c r="Q98" s="4">
        <v>63299.6</v>
      </c>
      <c r="R98" s="4">
        <v>63332.74</v>
      </c>
      <c r="S98" s="4">
        <v>1234.24</v>
      </c>
      <c r="T98" s="16">
        <v>63303.6</v>
      </c>
      <c r="W98" s="4">
        <v>0</v>
      </c>
      <c r="X98" s="4">
        <v>1.9511535403761355</v>
      </c>
      <c r="Y98" s="4">
        <v>5.1505802144443079E-3</v>
      </c>
      <c r="Z98" s="4">
        <v>9.1004116672365552E-3</v>
      </c>
      <c r="AC98" s="20">
        <v>6.4145262793424262E-3</v>
      </c>
      <c r="AD98" s="4">
        <v>2.2480070730421886</v>
      </c>
      <c r="AE98" s="4">
        <v>2.805960264063934E-2</v>
      </c>
      <c r="AF98" s="21">
        <v>6.1459377405449656E-2</v>
      </c>
    </row>
    <row r="99" spans="4:32">
      <c r="D99" s="4">
        <v>53201.45</v>
      </c>
      <c r="E99" s="4">
        <v>53207.38</v>
      </c>
      <c r="F99" s="4">
        <v>1145.47</v>
      </c>
      <c r="G99" s="4">
        <v>53200.2</v>
      </c>
      <c r="H99" s="4">
        <v>53200.2</v>
      </c>
      <c r="I99" s="4">
        <v>54360.9</v>
      </c>
      <c r="J99" s="4">
        <v>54472.18</v>
      </c>
      <c r="K99" s="4">
        <v>1048.7</v>
      </c>
      <c r="L99" s="4">
        <v>54366.7</v>
      </c>
      <c r="M99" s="4">
        <v>53217.4</v>
      </c>
      <c r="N99" s="4">
        <v>53231.42</v>
      </c>
      <c r="O99" s="4">
        <v>1539.94</v>
      </c>
      <c r="P99" s="4">
        <v>53226.5</v>
      </c>
      <c r="Q99" s="4">
        <v>53231.3</v>
      </c>
      <c r="R99" s="4">
        <v>53250.43</v>
      </c>
      <c r="S99" s="4">
        <v>1518.5</v>
      </c>
      <c r="T99" s="4">
        <v>53237.4</v>
      </c>
      <c r="W99" s="4">
        <v>0</v>
      </c>
      <c r="X99" s="4">
        <v>2.1793578934408826</v>
      </c>
      <c r="Y99" s="4">
        <v>2.9980385872949638E-2</v>
      </c>
      <c r="Z99" s="4">
        <v>5.6107493310813564E-2</v>
      </c>
      <c r="AC99" s="20">
        <v>1.1146312741476578E-2</v>
      </c>
      <c r="AD99" s="4">
        <v>2.3885251247851387</v>
      </c>
      <c r="AE99" s="4">
        <v>5.6333051072858291E-2</v>
      </c>
      <c r="AF99" s="21">
        <v>9.2065159878167227E-2</v>
      </c>
    </row>
    <row r="100" spans="4:32">
      <c r="D100" s="4">
        <v>61352.43</v>
      </c>
      <c r="E100" s="4">
        <v>61359.5</v>
      </c>
      <c r="F100" s="4">
        <v>1062.79</v>
      </c>
      <c r="G100" s="4">
        <v>61362.3</v>
      </c>
      <c r="H100" s="4">
        <v>61362.3</v>
      </c>
      <c r="I100" s="4">
        <v>62634.9</v>
      </c>
      <c r="J100" s="4">
        <v>62919.44</v>
      </c>
      <c r="K100" s="4">
        <v>1021.26</v>
      </c>
      <c r="L100" s="4">
        <v>62670.2</v>
      </c>
      <c r="M100" s="4">
        <v>61382.6</v>
      </c>
      <c r="N100" s="4">
        <v>61638.83</v>
      </c>
      <c r="O100" s="4">
        <v>1489.04</v>
      </c>
      <c r="P100" s="4">
        <v>61390.9</v>
      </c>
      <c r="Q100" s="4">
        <v>61410.1</v>
      </c>
      <c r="R100" s="4">
        <v>61664.57</v>
      </c>
      <c r="S100" s="4">
        <v>1575.11</v>
      </c>
      <c r="T100" s="4">
        <v>61428.1</v>
      </c>
      <c r="W100" s="4">
        <v>0</v>
      </c>
      <c r="X100" s="4">
        <v>2.0903328523417919</v>
      </c>
      <c r="Y100" s="4">
        <v>4.917490635659949E-2</v>
      </c>
      <c r="Z100" s="4">
        <v>9.3997906847370596E-2</v>
      </c>
      <c r="AC100" s="20">
        <v>1.1523585944354134E-2</v>
      </c>
      <c r="AD100" s="4">
        <v>2.5541123636015755</v>
      </c>
      <c r="AE100" s="4">
        <v>0.46681117602025129</v>
      </c>
      <c r="AF100" s="21">
        <v>0.50876550447960978</v>
      </c>
    </row>
    <row r="101" spans="4:32">
      <c r="D101" s="4">
        <v>88253.35</v>
      </c>
      <c r="E101" s="4">
        <v>88419.96</v>
      </c>
      <c r="F101" s="4">
        <v>1475.47</v>
      </c>
      <c r="G101" s="4">
        <v>88276.9</v>
      </c>
      <c r="H101" s="4">
        <v>88276.9</v>
      </c>
      <c r="I101" s="4">
        <v>89484.800000000003</v>
      </c>
      <c r="J101" s="4">
        <v>89661.75</v>
      </c>
      <c r="K101" s="4">
        <v>1232</v>
      </c>
      <c r="L101" s="4">
        <v>89494.399999999994</v>
      </c>
      <c r="M101" s="4">
        <v>88406.9</v>
      </c>
      <c r="N101" s="4">
        <v>88635.54</v>
      </c>
      <c r="O101" s="4">
        <v>1608.49</v>
      </c>
      <c r="P101" s="4">
        <v>88439.3</v>
      </c>
      <c r="Q101" s="4">
        <v>88648.5</v>
      </c>
      <c r="R101" s="4">
        <v>88768.15</v>
      </c>
      <c r="S101" s="4">
        <v>1499.46</v>
      </c>
      <c r="T101" s="4">
        <v>88651.6</v>
      </c>
      <c r="W101" s="4">
        <v>0</v>
      </c>
      <c r="X101" s="4">
        <v>1.3953577966162156</v>
      </c>
      <c r="Y101" s="4">
        <v>0.17398772964424394</v>
      </c>
      <c r="Z101" s="4">
        <v>0.44774504310600577</v>
      </c>
      <c r="AC101" s="20">
        <v>0.1887860347510894</v>
      </c>
      <c r="AD101" s="4">
        <v>1.5958601004947621</v>
      </c>
      <c r="AE101" s="4">
        <v>0.43306004814546728</v>
      </c>
      <c r="AF101" s="21">
        <v>0.58332063315442217</v>
      </c>
    </row>
    <row r="102" spans="4:32">
      <c r="D102" s="4">
        <v>83443.56</v>
      </c>
      <c r="E102" s="4">
        <v>83487.839999999997</v>
      </c>
      <c r="F102" s="4">
        <v>1415.68</v>
      </c>
      <c r="G102" s="4">
        <v>83429.3</v>
      </c>
      <c r="H102" s="4">
        <v>83429.3</v>
      </c>
      <c r="I102" s="4">
        <v>84860.4</v>
      </c>
      <c r="J102" s="4">
        <v>84914.83</v>
      </c>
      <c r="K102" s="4">
        <v>1215.1600000000001</v>
      </c>
      <c r="L102" s="4">
        <v>84844.7</v>
      </c>
      <c r="M102" s="4">
        <v>83640.7</v>
      </c>
      <c r="N102" s="4">
        <v>83728.679999999993</v>
      </c>
      <c r="O102" s="4">
        <v>1557.19</v>
      </c>
      <c r="P102" s="4">
        <v>83622.600000000006</v>
      </c>
      <c r="Q102" s="4">
        <v>83738.100000000006</v>
      </c>
      <c r="R102" s="4">
        <v>83832.77</v>
      </c>
      <c r="S102" s="4">
        <v>1440.25</v>
      </c>
      <c r="T102" s="4">
        <v>83713.3</v>
      </c>
      <c r="W102" s="4">
        <v>0</v>
      </c>
      <c r="X102" s="4">
        <v>1.6979620716086379</v>
      </c>
      <c r="Y102" s="4">
        <v>0.23625550012487412</v>
      </c>
      <c r="Z102" s="4">
        <v>0.35298110483302508</v>
      </c>
      <c r="AC102" s="20">
        <v>5.3065808793391407E-2</v>
      </c>
      <c r="AD102" s="4">
        <v>1.763191790954274</v>
      </c>
      <c r="AE102" s="4">
        <v>0.34169203710867002</v>
      </c>
      <c r="AF102" s="21">
        <v>0.46643503704780381</v>
      </c>
    </row>
    <row r="103" spans="4:32">
      <c r="D103" s="4">
        <v>107222.34</v>
      </c>
      <c r="E103" s="4">
        <v>107306.55</v>
      </c>
      <c r="F103" s="4">
        <v>1623.5</v>
      </c>
      <c r="G103" s="4">
        <v>107293.3</v>
      </c>
      <c r="H103" s="4">
        <v>107293.3</v>
      </c>
      <c r="I103" s="4">
        <v>109285.7</v>
      </c>
      <c r="J103" s="4">
        <v>109760.73</v>
      </c>
      <c r="K103" s="4">
        <v>1641.64</v>
      </c>
      <c r="L103" s="4">
        <v>109363.2</v>
      </c>
      <c r="M103" s="4">
        <v>107351.6</v>
      </c>
      <c r="N103" s="4">
        <v>107708.26</v>
      </c>
      <c r="O103" s="4">
        <v>1493.44</v>
      </c>
      <c r="P103" s="4">
        <v>107430.5</v>
      </c>
      <c r="Q103" s="4">
        <v>107696</v>
      </c>
      <c r="R103" s="4">
        <v>107896.96000000001</v>
      </c>
      <c r="S103" s="4">
        <v>1289.25</v>
      </c>
      <c r="T103" s="4">
        <v>107776</v>
      </c>
      <c r="W103" s="4">
        <v>0</v>
      </c>
      <c r="X103" s="4">
        <v>1.9243750882511992</v>
      </c>
      <c r="Y103" s="4">
        <v>0.12055323545448582</v>
      </c>
      <c r="Z103" s="4">
        <v>0.4417549551707261</v>
      </c>
      <c r="AC103" s="20">
        <v>7.8537737564770935E-2</v>
      </c>
      <c r="AD103" s="4">
        <v>2.3674077622256697</v>
      </c>
      <c r="AE103" s="4">
        <v>0.4531891395020835</v>
      </c>
      <c r="AF103" s="21">
        <v>0.62917858349296418</v>
      </c>
    </row>
    <row r="104" spans="4:32">
      <c r="D104" s="4">
        <v>118623.58</v>
      </c>
      <c r="E104" s="4">
        <v>118892.14</v>
      </c>
      <c r="F104" s="4">
        <v>1577.57</v>
      </c>
      <c r="G104" s="4">
        <v>118657</v>
      </c>
      <c r="H104" s="4">
        <v>118657</v>
      </c>
      <c r="I104" s="4">
        <v>120417.4</v>
      </c>
      <c r="J104" s="4">
        <v>120889.36</v>
      </c>
      <c r="K104" s="4">
        <v>1316.4</v>
      </c>
      <c r="L104" s="4">
        <v>120436.7</v>
      </c>
      <c r="M104" s="4">
        <v>119144.1</v>
      </c>
      <c r="N104" s="4">
        <v>119248.44</v>
      </c>
      <c r="O104" s="4">
        <v>1449.91</v>
      </c>
      <c r="P104" s="4">
        <v>119161.4</v>
      </c>
      <c r="Q104" s="4">
        <v>119199.8</v>
      </c>
      <c r="R104" s="4">
        <v>119429.96</v>
      </c>
      <c r="S104" s="4">
        <v>1417.97</v>
      </c>
      <c r="T104" s="4">
        <v>119203</v>
      </c>
      <c r="W104" s="4">
        <v>0</v>
      </c>
      <c r="X104" s="4">
        <v>1.5121951301756298</v>
      </c>
      <c r="Y104" s="4">
        <v>0.43879977319855296</v>
      </c>
      <c r="Z104" s="4">
        <v>0.48575502442263263</v>
      </c>
      <c r="AC104" s="20">
        <v>0.22639680913356153</v>
      </c>
      <c r="AD104" s="4">
        <v>1.9100586915350208</v>
      </c>
      <c r="AE104" s="4">
        <v>0.52675867647899388</v>
      </c>
      <c r="AF104" s="21">
        <v>0.67978052930117661</v>
      </c>
    </row>
    <row r="105" spans="4:32">
      <c r="D105" s="4">
        <v>259656.7</v>
      </c>
      <c r="E105" s="4">
        <v>259869.59</v>
      </c>
      <c r="F105" s="4">
        <v>1653.67</v>
      </c>
      <c r="G105" s="4">
        <v>259652.1</v>
      </c>
      <c r="H105" s="4">
        <v>259652.1</v>
      </c>
      <c r="I105" s="4">
        <v>260943.6</v>
      </c>
      <c r="J105" s="4">
        <v>261216.01</v>
      </c>
      <c r="K105" s="4">
        <v>1657.82</v>
      </c>
      <c r="L105" s="4">
        <v>260904.7</v>
      </c>
      <c r="M105" s="4">
        <v>260061.1</v>
      </c>
      <c r="N105" s="4">
        <v>260153.49</v>
      </c>
      <c r="O105" s="4">
        <v>1296.8699999999999</v>
      </c>
      <c r="P105" s="4">
        <v>260048</v>
      </c>
      <c r="Q105" s="4">
        <v>260151.2</v>
      </c>
      <c r="R105" s="4">
        <v>260237.58</v>
      </c>
      <c r="S105" s="4">
        <v>673.55</v>
      </c>
      <c r="T105" s="4">
        <v>260146.8</v>
      </c>
      <c r="W105" s="4">
        <v>0</v>
      </c>
      <c r="X105" s="4">
        <v>0.4956159421266596</v>
      </c>
      <c r="Y105" s="4">
        <v>0.1557441036568647</v>
      </c>
      <c r="Z105" s="4">
        <v>0.19044376671197005</v>
      </c>
      <c r="AC105" s="20">
        <v>8.1989026279693483E-2</v>
      </c>
      <c r="AD105" s="4">
        <v>0.60052754271312758</v>
      </c>
      <c r="AE105" s="4">
        <v>0.19132570043445019</v>
      </c>
      <c r="AF105" s="21">
        <v>0.22371076887289085</v>
      </c>
    </row>
    <row r="106" spans="4:32">
      <c r="D106" s="4">
        <v>168321.2</v>
      </c>
      <c r="E106" s="4">
        <v>168378.93</v>
      </c>
      <c r="F106" s="4">
        <v>1522.26</v>
      </c>
      <c r="G106" s="4">
        <v>168355.20000000001</v>
      </c>
      <c r="H106" s="4">
        <v>168355.20000000001</v>
      </c>
      <c r="I106" s="4">
        <v>171459.9</v>
      </c>
      <c r="J106" s="4">
        <v>171710.13</v>
      </c>
      <c r="K106" s="4">
        <v>1577.1</v>
      </c>
      <c r="L106" s="4">
        <v>171457.3</v>
      </c>
      <c r="M106" s="4">
        <v>168610.9</v>
      </c>
      <c r="N106" s="4">
        <v>168956.81</v>
      </c>
      <c r="O106" s="4">
        <v>1617.92</v>
      </c>
      <c r="P106" s="4">
        <v>168647.5</v>
      </c>
      <c r="Q106" s="4">
        <v>169022.6</v>
      </c>
      <c r="R106" s="4">
        <v>169352.54</v>
      </c>
      <c r="S106" s="4">
        <v>1092.49</v>
      </c>
      <c r="T106" s="4">
        <v>169034.8</v>
      </c>
      <c r="W106" s="4">
        <v>0</v>
      </c>
      <c r="X106" s="4">
        <v>1.864708664149247</v>
      </c>
      <c r="Y106" s="4">
        <v>0.17211141555548709</v>
      </c>
      <c r="Z106" s="4">
        <v>0.41670330297074532</v>
      </c>
      <c r="AC106" s="20">
        <v>3.4297521643133114E-2</v>
      </c>
      <c r="AD106" s="4">
        <v>2.013370864751435</v>
      </c>
      <c r="AE106" s="4">
        <v>0.37761731736702564</v>
      </c>
      <c r="AF106" s="21">
        <v>0.61272139219539568</v>
      </c>
    </row>
    <row r="107" spans="4:32">
      <c r="D107" s="4">
        <v>256174.84</v>
      </c>
      <c r="E107" s="4">
        <v>256684.28</v>
      </c>
      <c r="F107" s="4">
        <v>1603.11</v>
      </c>
      <c r="G107" s="4">
        <v>256202</v>
      </c>
      <c r="H107" s="4">
        <v>256202</v>
      </c>
      <c r="I107" s="4">
        <v>260713.3</v>
      </c>
      <c r="J107" s="4">
        <v>261217.1</v>
      </c>
      <c r="K107" s="4">
        <v>1674.77</v>
      </c>
      <c r="L107" s="4">
        <v>260810</v>
      </c>
      <c r="M107" s="4">
        <v>258085.3</v>
      </c>
      <c r="N107" s="4">
        <v>258651.96</v>
      </c>
      <c r="O107" s="4">
        <v>540.36</v>
      </c>
      <c r="P107" s="4">
        <v>258129.4</v>
      </c>
      <c r="Q107" s="4">
        <v>258085.3</v>
      </c>
      <c r="R107" s="4">
        <v>258815.87</v>
      </c>
      <c r="S107" s="4">
        <v>1164.96</v>
      </c>
      <c r="T107" s="4">
        <v>258129.4</v>
      </c>
      <c r="W107" s="4">
        <v>0</v>
      </c>
      <c r="X107" s="4">
        <v>1.7716259723242109</v>
      </c>
      <c r="Y107" s="4">
        <v>0.7457641039221462</v>
      </c>
      <c r="Z107" s="4">
        <v>0.7457641039221462</v>
      </c>
      <c r="AC107" s="20">
        <v>0.19886418197821548</v>
      </c>
      <c r="AD107" s="4">
        <v>1.9682885329410216</v>
      </c>
      <c r="AE107" s="4">
        <v>0.96696459340034935</v>
      </c>
      <c r="AF107" s="21">
        <v>1.0309482383203592</v>
      </c>
    </row>
    <row r="108" spans="4:32">
      <c r="D108" s="4">
        <v>258497.09</v>
      </c>
      <c r="E108" s="4">
        <v>258632.3</v>
      </c>
      <c r="F108" s="4">
        <v>1644.68</v>
      </c>
      <c r="G108" s="4">
        <v>258447.2</v>
      </c>
      <c r="H108" s="4">
        <v>258447.2</v>
      </c>
      <c r="I108" s="4">
        <v>263020.79999999999</v>
      </c>
      <c r="J108" s="4">
        <v>263635.56</v>
      </c>
      <c r="K108" s="4">
        <v>1680.58</v>
      </c>
      <c r="L108" s="4">
        <v>263001</v>
      </c>
      <c r="M108" s="4">
        <v>260783.5</v>
      </c>
      <c r="N108" s="4">
        <v>261486.01</v>
      </c>
      <c r="O108" s="4">
        <v>1148.46</v>
      </c>
      <c r="P108" s="4">
        <v>260765.7</v>
      </c>
      <c r="Q108" s="4">
        <v>260783.5</v>
      </c>
      <c r="R108" s="4">
        <v>261695.93</v>
      </c>
      <c r="S108" s="4">
        <v>1036</v>
      </c>
      <c r="T108" s="4">
        <v>260765.7</v>
      </c>
      <c r="W108" s="4">
        <v>0</v>
      </c>
      <c r="X108" s="4">
        <v>1.7500042263531832</v>
      </c>
      <c r="Y108" s="4">
        <v>0.88450125299283</v>
      </c>
      <c r="Z108" s="4">
        <v>0.88450125299283</v>
      </c>
      <c r="AC108" s="20">
        <v>5.230619810845525E-2</v>
      </c>
      <c r="AD108" s="4">
        <v>1.9878250853810391</v>
      </c>
      <c r="AE108" s="4">
        <v>1.1562683355545755</v>
      </c>
      <c r="AF108" s="21">
        <v>1.2374762129817387</v>
      </c>
    </row>
    <row r="109" spans="4:32">
      <c r="D109" s="4">
        <v>554099.42000000004</v>
      </c>
      <c r="E109" s="4">
        <v>554848.92000000004</v>
      </c>
      <c r="F109" s="4">
        <v>1300.46</v>
      </c>
      <c r="G109" s="4">
        <v>554057.4</v>
      </c>
      <c r="H109" s="4">
        <v>554057.4</v>
      </c>
      <c r="I109" s="4">
        <v>560289.4</v>
      </c>
      <c r="J109" s="4">
        <v>561870.42000000004</v>
      </c>
      <c r="K109" s="4">
        <v>1216.8</v>
      </c>
      <c r="L109" s="4">
        <v>560090.5</v>
      </c>
      <c r="M109" s="4">
        <v>555576.9</v>
      </c>
      <c r="N109" s="4">
        <v>555858.18000000005</v>
      </c>
      <c r="O109" s="4">
        <v>1258.31</v>
      </c>
      <c r="P109" s="4">
        <v>555483.19999999995</v>
      </c>
      <c r="Q109" s="4">
        <v>555576.9</v>
      </c>
      <c r="R109" s="4">
        <v>556354.18000000005</v>
      </c>
      <c r="S109" s="4">
        <v>1403.34</v>
      </c>
      <c r="T109" s="4">
        <v>555483.19999999995</v>
      </c>
      <c r="W109" s="4">
        <v>0</v>
      </c>
      <c r="X109" s="4">
        <v>1.117124432290505</v>
      </c>
      <c r="Y109" s="4">
        <v>0.26664528903494994</v>
      </c>
      <c r="Z109" s="4">
        <v>0.26664528903494994</v>
      </c>
      <c r="AC109" s="20">
        <v>0.13526453429602939</v>
      </c>
      <c r="AD109" s="4">
        <v>1.4024558986183382</v>
      </c>
      <c r="AE109" s="4">
        <v>0.31740874227950089</v>
      </c>
      <c r="AF109" s="21">
        <v>0.4069233640417832</v>
      </c>
    </row>
    <row r="110" spans="4:32">
      <c r="D110" s="4">
        <v>373005.98</v>
      </c>
      <c r="E110" s="4">
        <v>374262.99</v>
      </c>
      <c r="F110" s="4">
        <v>1365.15</v>
      </c>
      <c r="G110" s="4">
        <v>373042.9</v>
      </c>
      <c r="H110" s="4">
        <v>373042.9</v>
      </c>
      <c r="I110" s="4">
        <v>383192.8</v>
      </c>
      <c r="J110" s="4">
        <v>384059.22</v>
      </c>
      <c r="K110" s="4">
        <v>1112.27</v>
      </c>
      <c r="L110" s="4">
        <v>383124.1</v>
      </c>
      <c r="M110" s="4">
        <v>376213.5</v>
      </c>
      <c r="N110" s="4">
        <v>377380.94</v>
      </c>
      <c r="O110" s="4">
        <v>1468.63</v>
      </c>
      <c r="P110" s="4">
        <v>376286</v>
      </c>
      <c r="Q110" s="4">
        <v>377562.9</v>
      </c>
      <c r="R110" s="4">
        <v>378674.32</v>
      </c>
      <c r="S110" s="4">
        <v>1921.08</v>
      </c>
      <c r="T110" s="4">
        <v>377586.2</v>
      </c>
      <c r="W110" s="4">
        <v>0</v>
      </c>
      <c r="X110" s="4">
        <v>2.7310071543625138</v>
      </c>
      <c r="Y110" s="4">
        <v>0.85991114673282698</v>
      </c>
      <c r="Z110" s="4">
        <v>1.2216747838734494</v>
      </c>
      <c r="AC110" s="20">
        <v>0.33699459724479736</v>
      </c>
      <c r="AD110" s="4">
        <v>2.9632876127079761</v>
      </c>
      <c r="AE110" s="4">
        <v>1.1728927241327394</v>
      </c>
      <c r="AF110" s="21">
        <v>1.5196378352969102</v>
      </c>
    </row>
    <row r="111" spans="4:32">
      <c r="D111" s="4">
        <v>773276.74</v>
      </c>
      <c r="E111" s="4">
        <v>774292.47</v>
      </c>
      <c r="F111" s="4">
        <v>620.95000000000005</v>
      </c>
      <c r="G111" s="4">
        <v>773151.4</v>
      </c>
      <c r="H111" s="4">
        <v>773151.4</v>
      </c>
      <c r="I111" s="4">
        <v>783806.3</v>
      </c>
      <c r="J111" s="4">
        <v>785425.31</v>
      </c>
      <c r="K111" s="4">
        <v>895.39</v>
      </c>
      <c r="L111" s="4">
        <v>783624.9</v>
      </c>
      <c r="M111" s="4">
        <v>775503.2</v>
      </c>
      <c r="N111" s="4">
        <v>777986.22</v>
      </c>
      <c r="O111" s="4">
        <v>1945.98</v>
      </c>
      <c r="P111" s="4">
        <v>775483.1</v>
      </c>
      <c r="Q111" s="4">
        <v>776606.7</v>
      </c>
      <c r="R111" s="4">
        <v>780047.99</v>
      </c>
      <c r="S111" s="4">
        <v>2469.8200000000002</v>
      </c>
      <c r="T111" s="4">
        <v>776564.6</v>
      </c>
      <c r="W111" s="4">
        <v>0</v>
      </c>
      <c r="X111" s="4">
        <v>1.3616806836838329</v>
      </c>
      <c r="Y111" s="4">
        <v>0.28792538102205983</v>
      </c>
      <c r="Z111" s="4">
        <v>0.43062978979556044</v>
      </c>
      <c r="AC111" s="20">
        <v>0.13135400917399653</v>
      </c>
      <c r="AD111" s="4">
        <v>1.5710507469809665</v>
      </c>
      <c r="AE111" s="4">
        <v>0.6090290521346835</v>
      </c>
      <c r="AF111" s="21">
        <v>0.87565675388089403</v>
      </c>
    </row>
    <row r="112" spans="4:32">
      <c r="D112" s="4">
        <v>749159.93</v>
      </c>
      <c r="E112" s="4">
        <v>751312.57</v>
      </c>
      <c r="F112" s="4">
        <v>1347.21</v>
      </c>
      <c r="G112" s="4">
        <v>749120</v>
      </c>
      <c r="H112" s="4">
        <v>749120</v>
      </c>
      <c r="I112" s="4">
        <v>762277.7</v>
      </c>
      <c r="J112" s="4">
        <v>764966.46</v>
      </c>
      <c r="K112" s="4">
        <v>1076.23</v>
      </c>
      <c r="L112" s="4">
        <v>762309.2</v>
      </c>
      <c r="M112" s="4">
        <v>755112.7</v>
      </c>
      <c r="N112" s="4">
        <v>762027.54</v>
      </c>
      <c r="O112" s="4">
        <v>2575.5300000000002</v>
      </c>
      <c r="P112" s="4">
        <v>755144.3</v>
      </c>
      <c r="Q112" s="4">
        <v>765069.7</v>
      </c>
      <c r="R112" s="4">
        <v>768359.59</v>
      </c>
      <c r="S112" s="4">
        <v>3336.57</v>
      </c>
      <c r="T112" s="4">
        <v>765039.5</v>
      </c>
      <c r="W112" s="4">
        <v>0</v>
      </c>
      <c r="X112" s="4">
        <v>1.7509972803804259</v>
      </c>
      <c r="Y112" s="4">
        <v>0.79459268463542909</v>
      </c>
      <c r="Z112" s="4">
        <v>2.1236813880315117</v>
      </c>
      <c r="AC112" s="20">
        <v>0.28734051486174622</v>
      </c>
      <c r="AD112" s="4">
        <v>2.1099006189506038</v>
      </c>
      <c r="AE112" s="4">
        <v>1.7176052114800087</v>
      </c>
      <c r="AF112" s="21">
        <v>2.5628252701662668</v>
      </c>
    </row>
    <row r="113" spans="4:32">
      <c r="W113" s="4">
        <v>0</v>
      </c>
      <c r="X113" s="4">
        <v>5.0169973749162251</v>
      </c>
      <c r="Y113" s="4">
        <v>2.7859888640136134E-3</v>
      </c>
      <c r="Z113" s="4">
        <v>2.7859888640136134E-3</v>
      </c>
      <c r="AC113" s="20">
        <v>0</v>
      </c>
      <c r="AD113" s="4">
        <v>5.0217164989103438</v>
      </c>
      <c r="AE113" s="4">
        <v>2.8997026951999537E-3</v>
      </c>
      <c r="AF113" s="21">
        <v>2.8997026951999537E-3</v>
      </c>
    </row>
    <row r="114" spans="4:32">
      <c r="D114" s="4">
        <v>17588.009999999998</v>
      </c>
      <c r="E114" s="4">
        <v>17588.009999999998</v>
      </c>
      <c r="F114" s="4">
        <v>24.11</v>
      </c>
      <c r="G114" s="4">
        <v>17568.7</v>
      </c>
      <c r="H114" s="4">
        <v>17568.7</v>
      </c>
      <c r="I114" s="4">
        <v>18470.400000000001</v>
      </c>
      <c r="J114" s="4">
        <v>18471.23</v>
      </c>
      <c r="K114" s="4">
        <v>3.7</v>
      </c>
      <c r="L114" s="4">
        <v>18432.5</v>
      </c>
      <c r="M114" s="4">
        <v>17588.5</v>
      </c>
      <c r="N114" s="4">
        <v>17588.52</v>
      </c>
      <c r="O114" s="4">
        <v>38.67</v>
      </c>
      <c r="P114" s="4">
        <v>17567.900000000001</v>
      </c>
      <c r="Q114" s="4">
        <v>17588.5</v>
      </c>
      <c r="R114" s="4">
        <v>17588.52</v>
      </c>
      <c r="S114" s="4">
        <v>68.03</v>
      </c>
      <c r="T114" s="4">
        <v>17567.900000000001</v>
      </c>
      <c r="W114" s="4">
        <v>0</v>
      </c>
      <c r="X114" s="4">
        <v>2.946942029103385</v>
      </c>
      <c r="Y114" s="4">
        <v>1.5861266786498469E-2</v>
      </c>
      <c r="Z114" s="4">
        <v>1.5861266786498469E-2</v>
      </c>
      <c r="AC114" s="20">
        <v>0</v>
      </c>
      <c r="AD114" s="4">
        <v>2.9469013591885544</v>
      </c>
      <c r="AE114" s="4">
        <v>1.7976102358034558E-2</v>
      </c>
      <c r="AF114" s="21">
        <v>1.7610073124499182E-2</v>
      </c>
    </row>
    <row r="115" spans="4:32">
      <c r="D115" s="4">
        <v>24588.2</v>
      </c>
      <c r="E115" s="4">
        <v>24588.2</v>
      </c>
      <c r="F115" s="4">
        <v>5.91</v>
      </c>
      <c r="G115" s="4">
        <v>24549.1</v>
      </c>
      <c r="H115" s="4">
        <v>24549.1</v>
      </c>
      <c r="I115" s="4">
        <v>25312.799999999999</v>
      </c>
      <c r="J115" s="4">
        <v>25312.79</v>
      </c>
      <c r="K115" s="4">
        <v>0.85</v>
      </c>
      <c r="L115" s="4">
        <v>25251.5</v>
      </c>
      <c r="M115" s="4">
        <v>24592.1</v>
      </c>
      <c r="N115" s="4">
        <v>24592.62</v>
      </c>
      <c r="O115" s="4">
        <v>19.53</v>
      </c>
      <c r="P115" s="4">
        <v>24554.799999999999</v>
      </c>
      <c r="Q115" s="4">
        <v>24592.1</v>
      </c>
      <c r="R115" s="4">
        <v>24592.53</v>
      </c>
      <c r="S115" s="4">
        <v>48.48</v>
      </c>
      <c r="T115" s="4">
        <v>24554.799999999999</v>
      </c>
      <c r="W115" s="4">
        <v>0</v>
      </c>
      <c r="X115" s="4">
        <v>2.2602898282327848</v>
      </c>
      <c r="Y115" s="4">
        <v>7.2754691024055351E-3</v>
      </c>
      <c r="Z115" s="4">
        <v>3.5715939229952311E-3</v>
      </c>
      <c r="AC115" s="20">
        <v>1.7990250871410477E-3</v>
      </c>
      <c r="AD115" s="4">
        <v>2.2609776907661083</v>
      </c>
      <c r="AE115" s="4">
        <v>3.225017031212378E-2</v>
      </c>
      <c r="AF115" s="21">
        <v>3.6377345512027669E-2</v>
      </c>
    </row>
    <row r="116" spans="4:32">
      <c r="D116" s="4">
        <v>37798.25</v>
      </c>
      <c r="E116" s="4">
        <v>37798.93</v>
      </c>
      <c r="F116" s="4">
        <v>934.95</v>
      </c>
      <c r="G116" s="4">
        <v>37788.199999999997</v>
      </c>
      <c r="H116" s="4">
        <v>37788.199999999997</v>
      </c>
      <c r="I116" s="4">
        <v>38652.6</v>
      </c>
      <c r="J116" s="4">
        <v>38652.86</v>
      </c>
      <c r="K116" s="4">
        <v>766.15</v>
      </c>
      <c r="L116" s="4">
        <v>38661.5</v>
      </c>
      <c r="M116" s="4">
        <v>37801</v>
      </c>
      <c r="N116" s="4">
        <v>37810.44</v>
      </c>
      <c r="O116" s="4">
        <v>935.72</v>
      </c>
      <c r="P116" s="4">
        <v>37788.800000000003</v>
      </c>
      <c r="Q116" s="4">
        <v>37799.599999999999</v>
      </c>
      <c r="R116" s="4">
        <v>37812</v>
      </c>
      <c r="S116" s="4">
        <v>808.91</v>
      </c>
      <c r="T116" s="4">
        <v>37788.9</v>
      </c>
      <c r="W116" s="4">
        <v>0</v>
      </c>
      <c r="X116" s="4">
        <v>2.0681405294050501</v>
      </c>
      <c r="Y116" s="4">
        <v>3.7750766589862747E-2</v>
      </c>
      <c r="Z116" s="4">
        <v>3.7750766589862747E-2</v>
      </c>
      <c r="AC116" s="20">
        <v>1.390921850770134E-2</v>
      </c>
      <c r="AD116" s="4">
        <v>2.0680613873367255</v>
      </c>
      <c r="AE116" s="4">
        <v>9.3862493030556216E-2</v>
      </c>
      <c r="AF116" s="21">
        <v>0.11495385423852436</v>
      </c>
    </row>
    <row r="117" spans="4:32">
      <c r="D117" s="4">
        <v>50542.02</v>
      </c>
      <c r="E117" s="4">
        <v>50549.05</v>
      </c>
      <c r="F117" s="4">
        <v>1161.5899999999999</v>
      </c>
      <c r="G117" s="4">
        <v>50566.1</v>
      </c>
      <c r="H117" s="4">
        <v>50566.1</v>
      </c>
      <c r="I117" s="4">
        <v>51587.3</v>
      </c>
      <c r="J117" s="4">
        <v>51587.26</v>
      </c>
      <c r="K117" s="4">
        <v>214.84</v>
      </c>
      <c r="L117" s="4">
        <v>51619.6</v>
      </c>
      <c r="M117" s="4">
        <v>50561.1</v>
      </c>
      <c r="N117" s="4">
        <v>50589.46</v>
      </c>
      <c r="O117" s="4">
        <v>955.5</v>
      </c>
      <c r="P117" s="4">
        <v>50586.400000000001</v>
      </c>
      <c r="Q117" s="4">
        <v>50561.1</v>
      </c>
      <c r="R117" s="4">
        <v>50600.12</v>
      </c>
      <c r="S117" s="4">
        <v>1199.45</v>
      </c>
      <c r="T117" s="4">
        <v>50586.400000000001</v>
      </c>
      <c r="W117" s="4">
        <v>0</v>
      </c>
      <c r="X117" s="4">
        <v>2.8657351778694147</v>
      </c>
      <c r="Y117" s="4">
        <v>4.0116706639306866E-2</v>
      </c>
      <c r="Z117" s="4">
        <v>5.2763234270999923E-2</v>
      </c>
      <c r="AC117" s="20">
        <v>5.154660629632454E-3</v>
      </c>
      <c r="AD117" s="4">
        <v>2.8985521166605412</v>
      </c>
      <c r="AE117" s="4">
        <v>0.18049316335119536</v>
      </c>
      <c r="AF117" s="21">
        <v>0.18026904767164714</v>
      </c>
    </row>
    <row r="118" spans="4:32">
      <c r="D118" s="4">
        <v>62467.74</v>
      </c>
      <c r="E118" s="4">
        <v>62470.96</v>
      </c>
      <c r="F118" s="4">
        <v>1096.6500000000001</v>
      </c>
      <c r="G118" s="4">
        <v>62481.1</v>
      </c>
      <c r="H118" s="4">
        <v>62481.1</v>
      </c>
      <c r="I118" s="4">
        <v>64257.9</v>
      </c>
      <c r="J118" s="4">
        <v>64278.400000000001</v>
      </c>
      <c r="K118" s="4">
        <v>1159.69</v>
      </c>
      <c r="L118" s="4">
        <v>64277.5</v>
      </c>
      <c r="M118" s="4">
        <v>62492.800000000003</v>
      </c>
      <c r="N118" s="4">
        <v>62580.49</v>
      </c>
      <c r="O118" s="4">
        <v>1173.45</v>
      </c>
      <c r="P118" s="4">
        <v>62494.5</v>
      </c>
      <c r="Q118" s="4">
        <v>62500.7</v>
      </c>
      <c r="R118" s="4">
        <v>62580.35</v>
      </c>
      <c r="S118" s="4">
        <v>1225.03</v>
      </c>
      <c r="T118" s="4">
        <v>62502.8</v>
      </c>
      <c r="W118" s="4">
        <v>0</v>
      </c>
      <c r="X118" s="4">
        <v>1.4994328570022737</v>
      </c>
      <c r="Y118" s="4">
        <v>0.10144201564027655</v>
      </c>
      <c r="Z118" s="4">
        <v>0.19156336870361704</v>
      </c>
      <c r="AC118" s="20">
        <v>0.16732383236243348</v>
      </c>
      <c r="AD118" s="4">
        <v>1.5448782880790344</v>
      </c>
      <c r="AE118" s="4">
        <v>0.24881780466455605</v>
      </c>
      <c r="AF118" s="21">
        <v>0.33781449059607926</v>
      </c>
    </row>
    <row r="119" spans="4:32">
      <c r="D119" s="4">
        <v>67575.55</v>
      </c>
      <c r="E119" s="4">
        <v>67688.62</v>
      </c>
      <c r="F119" s="4">
        <v>919.69</v>
      </c>
      <c r="G119" s="4">
        <v>67545.8</v>
      </c>
      <c r="H119" s="4">
        <v>67545.8</v>
      </c>
      <c r="I119" s="4">
        <v>68588.800000000003</v>
      </c>
      <c r="J119" s="4">
        <v>68619.509999999995</v>
      </c>
      <c r="K119" s="4">
        <v>663.92</v>
      </c>
      <c r="L119" s="4">
        <v>68559.600000000006</v>
      </c>
      <c r="M119" s="4">
        <v>67644.100000000006</v>
      </c>
      <c r="N119" s="4">
        <v>67743.69</v>
      </c>
      <c r="O119" s="4">
        <v>1168.5</v>
      </c>
      <c r="P119" s="4">
        <v>67604.5</v>
      </c>
      <c r="Q119" s="4">
        <v>67705</v>
      </c>
      <c r="R119" s="4">
        <v>67803.83</v>
      </c>
      <c r="S119" s="4">
        <v>1313.8</v>
      </c>
      <c r="T119" s="4">
        <v>67666.100000000006</v>
      </c>
      <c r="W119" s="4">
        <v>0</v>
      </c>
      <c r="X119" s="4">
        <v>0.34256114152933964</v>
      </c>
      <c r="Y119" s="4">
        <v>2.0533962511574575E-3</v>
      </c>
      <c r="Z119" s="4">
        <v>1.1492395147617749E-2</v>
      </c>
      <c r="AC119" s="20">
        <v>2.257907893916708E-2</v>
      </c>
      <c r="AD119" s="4">
        <v>0.37644631958529245</v>
      </c>
      <c r="AE119" s="4">
        <v>3.2162974748526162E-2</v>
      </c>
      <c r="AF119" s="21">
        <v>5.1380445308778645E-2</v>
      </c>
    </row>
    <row r="120" spans="4:32">
      <c r="D120" s="4">
        <v>241551.04</v>
      </c>
      <c r="E120" s="4">
        <v>241605.58</v>
      </c>
      <c r="F120" s="4">
        <v>1094.73</v>
      </c>
      <c r="G120" s="4">
        <v>241567.5</v>
      </c>
      <c r="H120" s="4">
        <v>241567.5</v>
      </c>
      <c r="I120" s="4">
        <v>242378.5</v>
      </c>
      <c r="J120" s="4">
        <v>242460.35</v>
      </c>
      <c r="K120" s="4">
        <v>1083.8800000000001</v>
      </c>
      <c r="L120" s="4">
        <v>242363.6</v>
      </c>
      <c r="M120" s="4">
        <v>241556</v>
      </c>
      <c r="N120" s="4">
        <v>241628.73</v>
      </c>
      <c r="O120" s="4">
        <v>1427.53</v>
      </c>
      <c r="P120" s="4">
        <v>241570.1</v>
      </c>
      <c r="Q120" s="4">
        <v>241578.8</v>
      </c>
      <c r="R120" s="4">
        <v>241675.15</v>
      </c>
      <c r="S120" s="4">
        <v>1404.74</v>
      </c>
      <c r="T120" s="4">
        <v>241592.1</v>
      </c>
      <c r="W120" s="4">
        <v>0</v>
      </c>
      <c r="X120" s="4">
        <v>1.7536242274717264</v>
      </c>
      <c r="Y120" s="4">
        <v>0.16086525087896197</v>
      </c>
      <c r="Z120" s="4">
        <v>0.32547683434720842</v>
      </c>
      <c r="AC120" s="20">
        <v>0.13893741607319132</v>
      </c>
      <c r="AD120" s="4">
        <v>2.1229130678804817</v>
      </c>
      <c r="AE120" s="4">
        <v>0.43459204577615751</v>
      </c>
      <c r="AF120" s="21">
        <v>0.67607767535957397</v>
      </c>
    </row>
    <row r="121" spans="4:32">
      <c r="D121" s="4">
        <v>114511.99</v>
      </c>
      <c r="E121" s="4">
        <v>114671.09</v>
      </c>
      <c r="F121" s="4">
        <v>1505.15</v>
      </c>
      <c r="G121" s="4">
        <v>114496.9</v>
      </c>
      <c r="H121" s="4">
        <v>114496.9</v>
      </c>
      <c r="I121" s="4">
        <v>116520.1</v>
      </c>
      <c r="J121" s="4">
        <v>116942.98</v>
      </c>
      <c r="K121" s="4">
        <v>1157.7</v>
      </c>
      <c r="L121" s="4">
        <v>116547.9</v>
      </c>
      <c r="M121" s="4">
        <v>114696.2</v>
      </c>
      <c r="N121" s="4">
        <v>115009.65</v>
      </c>
      <c r="O121" s="4">
        <v>1495.34</v>
      </c>
      <c r="P121" s="4">
        <v>114694.1</v>
      </c>
      <c r="Q121" s="4">
        <v>114884.7</v>
      </c>
      <c r="R121" s="4">
        <v>115286.18</v>
      </c>
      <c r="S121" s="4">
        <v>1588.61</v>
      </c>
      <c r="T121" s="4">
        <v>114875.6</v>
      </c>
      <c r="W121" s="4">
        <v>0</v>
      </c>
      <c r="X121" s="4">
        <v>0.61138812377763407</v>
      </c>
      <c r="Y121" s="4">
        <v>3.7558128085706577E-2</v>
      </c>
      <c r="Z121" s="4">
        <v>6.5253423944631544E-2</v>
      </c>
      <c r="AC121" s="20">
        <v>3.0555765222269965E-2</v>
      </c>
      <c r="AD121" s="4">
        <v>0.65287319679856137</v>
      </c>
      <c r="AE121" s="4">
        <v>7.5748700987283563E-2</v>
      </c>
      <c r="AF121" s="21">
        <v>0.11189312889630539</v>
      </c>
    </row>
    <row r="122" spans="4:32">
      <c r="D122" s="4">
        <v>241918.34</v>
      </c>
      <c r="E122" s="4">
        <v>241992.26</v>
      </c>
      <c r="F122" s="4">
        <v>1234.6099999999999</v>
      </c>
      <c r="G122" s="4">
        <v>241922.1</v>
      </c>
      <c r="H122" s="4">
        <v>241922.1</v>
      </c>
      <c r="I122" s="4">
        <v>243397.4</v>
      </c>
      <c r="J122" s="4">
        <v>243497.76</v>
      </c>
      <c r="K122" s="4">
        <v>929.23</v>
      </c>
      <c r="L122" s="4">
        <v>243407.9</v>
      </c>
      <c r="M122" s="4">
        <v>242009.2</v>
      </c>
      <c r="N122" s="4">
        <v>242101.59</v>
      </c>
      <c r="O122" s="4">
        <v>1437.79</v>
      </c>
      <c r="P122" s="4">
        <v>242019.8</v>
      </c>
      <c r="Q122" s="4">
        <v>242076.2</v>
      </c>
      <c r="R122" s="4">
        <v>242189.03</v>
      </c>
      <c r="S122" s="4">
        <v>1435.96</v>
      </c>
      <c r="T122" s="4">
        <v>242079.8</v>
      </c>
      <c r="W122" s="4">
        <v>0</v>
      </c>
      <c r="X122" s="4">
        <v>1.146049339745506</v>
      </c>
      <c r="Y122" s="4">
        <v>0.20353625476134118</v>
      </c>
      <c r="Z122" s="4">
        <v>0.28151303759553242</v>
      </c>
      <c r="AC122" s="20">
        <v>0.16393507919622272</v>
      </c>
      <c r="AD122" s="4">
        <v>1.2174795452651412</v>
      </c>
      <c r="AE122" s="4">
        <v>0.32514837546837672</v>
      </c>
      <c r="AF122" s="21">
        <v>0.37246552476384015</v>
      </c>
    </row>
    <row r="123" spans="4:32">
      <c r="D123" s="4">
        <v>195827.52</v>
      </c>
      <c r="E123" s="4">
        <v>196148.55</v>
      </c>
      <c r="F123" s="4">
        <v>1159.56</v>
      </c>
      <c r="G123" s="4">
        <v>195835.5</v>
      </c>
      <c r="H123" s="4">
        <v>195835.5</v>
      </c>
      <c r="I123" s="4">
        <v>198071.8</v>
      </c>
      <c r="J123" s="4">
        <v>198211.68</v>
      </c>
      <c r="K123" s="4">
        <v>1174.17</v>
      </c>
      <c r="L123" s="4">
        <v>198065.7</v>
      </c>
      <c r="M123" s="4">
        <v>196226.1</v>
      </c>
      <c r="N123" s="4">
        <v>196464.25</v>
      </c>
      <c r="O123" s="4">
        <v>1627.26</v>
      </c>
      <c r="P123" s="4">
        <v>196259.7</v>
      </c>
      <c r="Q123" s="4">
        <v>196378.8</v>
      </c>
      <c r="R123" s="4">
        <v>196556.91</v>
      </c>
      <c r="S123" s="4">
        <v>1560.94</v>
      </c>
      <c r="T123" s="4">
        <v>196401.9</v>
      </c>
      <c r="W123" s="4">
        <v>0</v>
      </c>
      <c r="X123" s="4">
        <v>1.1577057816556002</v>
      </c>
      <c r="Y123" s="4">
        <v>0.34225795110435298</v>
      </c>
      <c r="Z123" s="4">
        <v>0.34225795110435298</v>
      </c>
      <c r="AC123" s="20">
        <v>0.11878291662992752</v>
      </c>
      <c r="AD123" s="4">
        <v>1.4242648589348186</v>
      </c>
      <c r="AE123" s="4">
        <v>0.48620704463910669</v>
      </c>
      <c r="AF123" s="21">
        <v>0.56028262556735264</v>
      </c>
    </row>
    <row r="124" spans="4:32">
      <c r="D124" s="4">
        <v>194666.04</v>
      </c>
      <c r="E124" s="4">
        <v>194897.27</v>
      </c>
      <c r="F124" s="4">
        <v>1560.59</v>
      </c>
      <c r="G124" s="4">
        <v>194757.9</v>
      </c>
      <c r="H124" s="4">
        <v>194757.9</v>
      </c>
      <c r="I124" s="4">
        <v>196919.7</v>
      </c>
      <c r="J124" s="4">
        <v>197438.6</v>
      </c>
      <c r="K124" s="4">
        <v>1292.71</v>
      </c>
      <c r="L124" s="4">
        <v>197075.4</v>
      </c>
      <c r="M124" s="4">
        <v>195332.3</v>
      </c>
      <c r="N124" s="4">
        <v>195612.52</v>
      </c>
      <c r="O124" s="4">
        <v>1526.32</v>
      </c>
      <c r="P124" s="4">
        <v>195457</v>
      </c>
      <c r="Q124" s="4">
        <v>195332.3</v>
      </c>
      <c r="R124" s="4">
        <v>195756.72</v>
      </c>
      <c r="S124" s="4">
        <v>1448.87</v>
      </c>
      <c r="T124" s="4">
        <v>195457</v>
      </c>
      <c r="W124" s="4">
        <v>0</v>
      </c>
      <c r="X124" s="4">
        <v>0.94159514166861114</v>
      </c>
      <c r="Y124" s="4">
        <v>7.5846205977770073E-2</v>
      </c>
      <c r="Z124" s="4">
        <v>0.29265613631982407</v>
      </c>
      <c r="AC124" s="20">
        <v>0.12115118271232668</v>
      </c>
      <c r="AD124" s="4">
        <v>1.1157735709241516</v>
      </c>
      <c r="AE124" s="4">
        <v>0.40567756780502995</v>
      </c>
      <c r="AF124" s="21">
        <v>0.58581417048435935</v>
      </c>
    </row>
    <row r="125" spans="4:32">
      <c r="D125" s="4">
        <v>201236.17</v>
      </c>
      <c r="E125" s="4">
        <v>201479.97</v>
      </c>
      <c r="F125" s="4">
        <v>1418.54</v>
      </c>
      <c r="G125" s="4">
        <v>201248.1</v>
      </c>
      <c r="H125" s="4">
        <v>201248.1</v>
      </c>
      <c r="I125" s="4">
        <v>203131</v>
      </c>
      <c r="J125" s="4">
        <v>203481.51</v>
      </c>
      <c r="K125" s="4">
        <v>1383.29</v>
      </c>
      <c r="L125" s="4">
        <v>203169.7</v>
      </c>
      <c r="M125" s="4">
        <v>201388.79999999999</v>
      </c>
      <c r="N125" s="4">
        <v>202052.54</v>
      </c>
      <c r="O125" s="4">
        <v>1402.17</v>
      </c>
      <c r="P125" s="4">
        <v>201382.6</v>
      </c>
      <c r="Q125" s="4">
        <v>201825.1</v>
      </c>
      <c r="R125" s="4">
        <v>202415.04</v>
      </c>
      <c r="S125" s="4">
        <v>1259.1400000000001</v>
      </c>
      <c r="T125" s="4">
        <v>201837.1</v>
      </c>
      <c r="W125" s="4">
        <v>0</v>
      </c>
      <c r="X125" s="4">
        <v>0.84615627467694265</v>
      </c>
      <c r="Y125" s="4">
        <v>0.30804734469633682</v>
      </c>
      <c r="Z125" s="4">
        <v>0.33628458220033736</v>
      </c>
      <c r="AC125" s="20">
        <v>9.7532856346254748E-2</v>
      </c>
      <c r="AD125" s="4">
        <v>0.99141136968446575</v>
      </c>
      <c r="AE125" s="4">
        <v>0.39921701800784676</v>
      </c>
      <c r="AF125" s="21">
        <v>0.46402539991804898</v>
      </c>
    </row>
    <row r="126" spans="4:32">
      <c r="D126" s="4">
        <v>305978.94</v>
      </c>
      <c r="E126" s="4">
        <v>306277.37</v>
      </c>
      <c r="F126" s="4">
        <v>1495.4</v>
      </c>
      <c r="G126" s="4">
        <v>305946.90000000002</v>
      </c>
      <c r="H126" s="4">
        <v>305946.90000000002</v>
      </c>
      <c r="I126" s="4">
        <v>308568</v>
      </c>
      <c r="J126" s="4">
        <v>309012.45</v>
      </c>
      <c r="K126" s="4">
        <v>1450.41</v>
      </c>
      <c r="L126" s="4">
        <v>308539.3</v>
      </c>
      <c r="M126" s="4">
        <v>306921.5</v>
      </c>
      <c r="N126" s="4">
        <v>307200.46000000002</v>
      </c>
      <c r="O126" s="4">
        <v>1693.22</v>
      </c>
      <c r="P126" s="4">
        <v>306883.09999999998</v>
      </c>
      <c r="Q126" s="4">
        <v>307007.90000000002</v>
      </c>
      <c r="R126" s="4">
        <v>307398.76</v>
      </c>
      <c r="S126" s="4">
        <v>1420.83</v>
      </c>
      <c r="T126" s="4">
        <v>306966.90000000002</v>
      </c>
      <c r="W126" s="4">
        <v>0</v>
      </c>
      <c r="X126" s="4">
        <v>1.2281345515597122</v>
      </c>
      <c r="Y126" s="4">
        <v>0.14258444415081872</v>
      </c>
      <c r="Z126" s="4">
        <v>0.33170311350677911</v>
      </c>
      <c r="AC126" s="20">
        <v>7.065300544564028E-2</v>
      </c>
      <c r="AD126" s="4">
        <v>1.4388225890584183</v>
      </c>
      <c r="AE126" s="4">
        <v>0.29729723181925549</v>
      </c>
      <c r="AF126" s="21">
        <v>0.52444835884390051</v>
      </c>
    </row>
    <row r="127" spans="4:32">
      <c r="D127" s="4">
        <v>268297.15000000002</v>
      </c>
      <c r="E127" s="4">
        <v>268486.71000000002</v>
      </c>
      <c r="F127" s="4">
        <v>1498.86</v>
      </c>
      <c r="G127" s="4">
        <v>268304.2</v>
      </c>
      <c r="H127" s="4">
        <v>268304.2</v>
      </c>
      <c r="I127" s="4">
        <v>271592.2</v>
      </c>
      <c r="J127" s="4">
        <v>272157.46999999997</v>
      </c>
      <c r="K127" s="4">
        <v>1467.55</v>
      </c>
      <c r="L127" s="4">
        <v>271634</v>
      </c>
      <c r="M127" s="4">
        <v>268679.7</v>
      </c>
      <c r="N127" s="4">
        <v>269094.78999999998</v>
      </c>
      <c r="O127" s="4">
        <v>1401.46</v>
      </c>
      <c r="P127" s="4">
        <v>268652.3</v>
      </c>
      <c r="Q127" s="4">
        <v>269187.09999999998</v>
      </c>
      <c r="R127" s="4">
        <v>269704.23</v>
      </c>
      <c r="S127" s="4">
        <v>1551.98</v>
      </c>
      <c r="T127" s="4">
        <v>269166.2</v>
      </c>
      <c r="W127" s="4">
        <v>0</v>
      </c>
      <c r="X127" s="4">
        <v>0.97213848310624107</v>
      </c>
      <c r="Y127" s="4">
        <v>0.30056308173347657</v>
      </c>
      <c r="Z127" s="4">
        <v>0.42633240818594392</v>
      </c>
      <c r="AC127" s="20">
        <v>5.3265654799538577E-2</v>
      </c>
      <c r="AD127" s="4">
        <v>1.1104646006966332</v>
      </c>
      <c r="AE127" s="4">
        <v>0.4401120765543034</v>
      </c>
      <c r="AF127" s="21">
        <v>0.58254706163893033</v>
      </c>
    </row>
    <row r="128" spans="4:32">
      <c r="D128" s="4">
        <v>347541.02</v>
      </c>
      <c r="E128" s="4">
        <v>347726.14</v>
      </c>
      <c r="F128" s="4">
        <v>1550.98</v>
      </c>
      <c r="G128" s="4">
        <v>347537.3</v>
      </c>
      <c r="H128" s="4">
        <v>347537.3</v>
      </c>
      <c r="I128" s="4">
        <v>350919.6</v>
      </c>
      <c r="J128" s="4">
        <v>351400.34</v>
      </c>
      <c r="K128" s="4">
        <v>1568.53</v>
      </c>
      <c r="L128" s="4">
        <v>350929.3</v>
      </c>
      <c r="M128" s="4">
        <v>348585.6</v>
      </c>
      <c r="N128" s="4">
        <v>349070.59</v>
      </c>
      <c r="O128" s="4">
        <v>1351.55</v>
      </c>
      <c r="P128" s="4">
        <v>348577.1</v>
      </c>
      <c r="Q128" s="4">
        <v>349022.7</v>
      </c>
      <c r="R128" s="4">
        <v>349565.61</v>
      </c>
      <c r="S128" s="4">
        <v>1383.76</v>
      </c>
      <c r="T128" s="4">
        <v>349018.5</v>
      </c>
      <c r="W128" s="4">
        <v>0</v>
      </c>
      <c r="X128" s="4">
        <v>1.2898299967565787</v>
      </c>
      <c r="Y128" s="4">
        <v>0.47777410661245751</v>
      </c>
      <c r="Z128" s="4">
        <v>0.64657239588065707</v>
      </c>
      <c r="AC128" s="20">
        <v>0.14591435534111663</v>
      </c>
      <c r="AD128" s="4">
        <v>1.5020926055630623</v>
      </c>
      <c r="AE128" s="4">
        <v>0.60743136259539066</v>
      </c>
      <c r="AF128" s="21">
        <v>0.77281015011722443</v>
      </c>
    </row>
    <row r="129" spans="4:32">
      <c r="D129" s="4">
        <v>362918.37</v>
      </c>
      <c r="E129" s="4">
        <v>363447.92</v>
      </c>
      <c r="F129" s="4">
        <v>1524.87</v>
      </c>
      <c r="G129" s="4">
        <v>362944.5</v>
      </c>
      <c r="H129" s="4">
        <v>362944.5</v>
      </c>
      <c r="I129" s="4">
        <v>367599.4</v>
      </c>
      <c r="J129" s="4">
        <v>368369.74</v>
      </c>
      <c r="K129" s="4">
        <v>1477.63</v>
      </c>
      <c r="L129" s="4">
        <v>367731.1</v>
      </c>
      <c r="M129" s="4">
        <v>364652.3</v>
      </c>
      <c r="N129" s="4">
        <v>365122.85</v>
      </c>
      <c r="O129" s="4">
        <v>1348.24</v>
      </c>
      <c r="P129" s="4">
        <v>364685.7</v>
      </c>
      <c r="Q129" s="4">
        <v>365264.9</v>
      </c>
      <c r="R129" s="4">
        <v>365723.04</v>
      </c>
      <c r="S129" s="4">
        <v>1234.6600000000001</v>
      </c>
      <c r="T129" s="4">
        <v>365307.5</v>
      </c>
      <c r="W129" s="4">
        <v>0</v>
      </c>
      <c r="X129" s="4">
        <v>0.65121886792339989</v>
      </c>
      <c r="Y129" s="4">
        <v>0.30960708755192023</v>
      </c>
      <c r="Z129" s="4">
        <v>0.34523597375555648</v>
      </c>
      <c r="AC129" s="20">
        <v>0.11096042026218214</v>
      </c>
      <c r="AD129" s="4">
        <v>0.69625503022114044</v>
      </c>
      <c r="AE129" s="4">
        <v>0.36207434885475842</v>
      </c>
      <c r="AF129" s="21">
        <v>0.38842457876264358</v>
      </c>
    </row>
    <row r="130" spans="4:32">
      <c r="D130" s="4">
        <v>831909.25</v>
      </c>
      <c r="E130" s="4">
        <v>832832.34</v>
      </c>
      <c r="F130" s="4">
        <v>1634.2</v>
      </c>
      <c r="G130" s="4">
        <v>831868.7</v>
      </c>
      <c r="H130" s="4">
        <v>831868.7</v>
      </c>
      <c r="I130" s="4">
        <v>837326.8</v>
      </c>
      <c r="J130" s="4">
        <v>837701.46</v>
      </c>
      <c r="K130" s="4">
        <v>1432.74</v>
      </c>
      <c r="L130" s="4">
        <v>837337.5</v>
      </c>
      <c r="M130" s="4">
        <v>834484.9</v>
      </c>
      <c r="N130" s="4">
        <v>834921.38</v>
      </c>
      <c r="O130" s="4">
        <v>960.38</v>
      </c>
      <c r="P130" s="4">
        <v>834526.2</v>
      </c>
      <c r="Q130" s="4">
        <v>834781.3</v>
      </c>
      <c r="R130" s="4">
        <v>835140.59</v>
      </c>
      <c r="S130" s="4">
        <v>1083.29</v>
      </c>
      <c r="T130" s="4">
        <v>834841.1</v>
      </c>
      <c r="W130" s="4">
        <v>0</v>
      </c>
      <c r="X130" s="4">
        <v>0.98782451159879714</v>
      </c>
      <c r="Y130" s="4">
        <v>0.31338193518055962</v>
      </c>
      <c r="Z130" s="4">
        <v>0.6270075369895407</v>
      </c>
      <c r="AC130" s="20">
        <v>0.13199497407120653</v>
      </c>
      <c r="AD130" s="4">
        <v>1.1787963279743565</v>
      </c>
      <c r="AE130" s="4">
        <v>0.58339501779413538</v>
      </c>
      <c r="AF130" s="21">
        <v>0.77870333869729258</v>
      </c>
    </row>
    <row r="131" spans="4:32">
      <c r="D131" s="4">
        <v>525307.88</v>
      </c>
      <c r="E131" s="4">
        <v>526001.26</v>
      </c>
      <c r="F131" s="4">
        <v>1458.18</v>
      </c>
      <c r="G131" s="4">
        <v>525345.19999999995</v>
      </c>
      <c r="H131" s="4">
        <v>525345.19999999995</v>
      </c>
      <c r="I131" s="4">
        <v>530497</v>
      </c>
      <c r="J131" s="4">
        <v>531500.18999999994</v>
      </c>
      <c r="K131" s="4">
        <v>1509.89</v>
      </c>
      <c r="L131" s="4">
        <v>530572</v>
      </c>
      <c r="M131" s="4">
        <v>526954.1</v>
      </c>
      <c r="N131" s="4">
        <v>528372.5</v>
      </c>
      <c r="O131" s="4">
        <v>1482.39</v>
      </c>
      <c r="P131" s="4">
        <v>526969.4</v>
      </c>
      <c r="Q131" s="4">
        <v>528601.59999999998</v>
      </c>
      <c r="R131" s="4">
        <v>529398.47</v>
      </c>
      <c r="S131" s="4">
        <v>1457.71</v>
      </c>
      <c r="T131" s="4">
        <v>528718.1</v>
      </c>
      <c r="W131" s="4">
        <v>0</v>
      </c>
      <c r="X131" s="4">
        <v>0.69868868489024238</v>
      </c>
      <c r="Y131" s="4">
        <v>0.4381747489992433</v>
      </c>
      <c r="Z131" s="4">
        <v>0.78505910710113236</v>
      </c>
      <c r="AC131" s="20">
        <v>0.16619717980594267</v>
      </c>
      <c r="AD131" s="4">
        <v>0.89547999395152311</v>
      </c>
      <c r="AE131" s="4">
        <v>0.57857131547742158</v>
      </c>
      <c r="AF131" s="21">
        <v>0.98852478405003685</v>
      </c>
    </row>
    <row r="132" spans="4:32">
      <c r="D132" s="4">
        <v>941062.9</v>
      </c>
      <c r="E132" s="4">
        <v>942626.92</v>
      </c>
      <c r="F132" s="4">
        <v>1549.87</v>
      </c>
      <c r="G132" s="4">
        <v>941083</v>
      </c>
      <c r="H132" s="4">
        <v>941083</v>
      </c>
      <c r="I132" s="4">
        <v>947638</v>
      </c>
      <c r="J132" s="4">
        <v>949489.93</v>
      </c>
      <c r="K132" s="4">
        <v>1252.79</v>
      </c>
      <c r="L132" s="4">
        <v>947501.1</v>
      </c>
      <c r="M132" s="4">
        <v>945186.4</v>
      </c>
      <c r="N132" s="4">
        <v>946507.62</v>
      </c>
      <c r="O132" s="4">
        <v>1698.84</v>
      </c>
      <c r="P132" s="4">
        <v>945161.8</v>
      </c>
      <c r="Q132" s="4">
        <v>948450.8</v>
      </c>
      <c r="R132" s="4">
        <v>950365.54</v>
      </c>
      <c r="S132" s="4">
        <v>2112.1</v>
      </c>
      <c r="T132" s="4">
        <v>948426.4</v>
      </c>
      <c r="W132" s="4">
        <v>0</v>
      </c>
      <c r="X132" s="4">
        <v>1.0595331505694234</v>
      </c>
      <c r="Y132" s="4">
        <v>0.56722987630803956</v>
      </c>
      <c r="Z132" s="4">
        <v>0.95876986988830282</v>
      </c>
      <c r="AC132" s="20">
        <v>0.15397991207010384</v>
      </c>
      <c r="AD132" s="4">
        <v>1.256188862680917</v>
      </c>
      <c r="AE132" s="4">
        <v>0.78167828708787224</v>
      </c>
      <c r="AF132" s="21">
        <v>1.6691860996937313</v>
      </c>
    </row>
    <row r="133" spans="4:32">
      <c r="D133" s="4">
        <v>854676.42</v>
      </c>
      <c r="E133" s="4">
        <v>855992.45</v>
      </c>
      <c r="F133" s="4">
        <v>1270.8399999999999</v>
      </c>
      <c r="G133" s="4">
        <v>854579.7</v>
      </c>
      <c r="H133" s="4">
        <v>854579.7</v>
      </c>
      <c r="I133" s="4">
        <v>863732</v>
      </c>
      <c r="J133" s="4">
        <v>865412.77</v>
      </c>
      <c r="K133" s="4">
        <v>1261.69</v>
      </c>
      <c r="L133" s="4">
        <v>863712.9</v>
      </c>
      <c r="M133" s="4">
        <v>859524.4</v>
      </c>
      <c r="N133" s="4">
        <v>861357.24</v>
      </c>
      <c r="O133" s="4">
        <v>1643.17</v>
      </c>
      <c r="P133" s="4">
        <v>859605.8</v>
      </c>
      <c r="Q133" s="4">
        <v>862870.8</v>
      </c>
      <c r="R133" s="4">
        <v>868942.56</v>
      </c>
      <c r="S133" s="4">
        <v>2076.85</v>
      </c>
      <c r="T133" s="4">
        <v>862824.6</v>
      </c>
      <c r="W133" s="4">
        <v>0</v>
      </c>
      <c r="X133" s="4">
        <v>0.49262149978777076</v>
      </c>
      <c r="Y133" s="4">
        <v>0.62567904550985287</v>
      </c>
      <c r="Z133" s="4">
        <v>0.62567904550985287</v>
      </c>
      <c r="AC133" s="20">
        <v>2.8542608836168697E-2</v>
      </c>
      <c r="AD133" s="4">
        <v>0.69256032505332765</v>
      </c>
      <c r="AE133" s="4">
        <v>0.75723157438374011</v>
      </c>
      <c r="AF133" s="21">
        <v>0.75723157438374011</v>
      </c>
    </row>
    <row r="134" spans="4:32">
      <c r="D134" s="4">
        <v>1821242.07</v>
      </c>
      <c r="E134" s="4">
        <v>1821761.9</v>
      </c>
      <c r="F134" s="4">
        <v>1352.98</v>
      </c>
      <c r="G134" s="4">
        <v>1821201.3</v>
      </c>
      <c r="H134" s="4">
        <v>1821201.3</v>
      </c>
      <c r="I134" s="4">
        <v>1830213.9</v>
      </c>
      <c r="J134" s="4">
        <v>1833855.27</v>
      </c>
      <c r="K134" s="4">
        <v>1210.27</v>
      </c>
      <c r="L134" s="4">
        <v>1830054.3</v>
      </c>
      <c r="M134" s="4">
        <v>1832637.2</v>
      </c>
      <c r="N134" s="4">
        <v>1835033.09</v>
      </c>
      <c r="O134" s="4">
        <v>2701.61</v>
      </c>
      <c r="P134" s="4">
        <v>1832562.4</v>
      </c>
      <c r="Q134" s="22">
        <v>1832637.2</v>
      </c>
      <c r="R134" s="22">
        <v>1835033.09</v>
      </c>
      <c r="S134" s="4">
        <v>4131.08</v>
      </c>
      <c r="T134" s="4">
        <v>1832562.4</v>
      </c>
      <c r="W134" s="4">
        <v>0</v>
      </c>
      <c r="X134" s="4">
        <v>0.97594478032552756</v>
      </c>
      <c r="Y134" s="4">
        <v>1.5510175961078219</v>
      </c>
      <c r="Z134" s="4">
        <v>1.5510175961078219</v>
      </c>
      <c r="AC134" s="20">
        <v>3.9535554940901149E-2</v>
      </c>
      <c r="AD134" s="4">
        <v>1.0095727751869972</v>
      </c>
      <c r="AE134" s="4">
        <v>1.7592211336376729</v>
      </c>
      <c r="AF134" s="21">
        <v>1.7592211336376729</v>
      </c>
    </row>
    <row r="135" spans="4:32">
      <c r="D135" s="4">
        <v>1337100.24</v>
      </c>
      <c r="E135" s="4">
        <v>1337628.8700000001</v>
      </c>
      <c r="F135" s="4">
        <v>1037.56</v>
      </c>
      <c r="G135" s="4">
        <v>1336938.5</v>
      </c>
      <c r="H135" s="4">
        <v>1336938.5</v>
      </c>
      <c r="I135" s="4">
        <v>1350149.6</v>
      </c>
      <c r="J135" s="4">
        <v>1350599.24</v>
      </c>
      <c r="K135" s="4">
        <v>1050.54</v>
      </c>
      <c r="L135" s="4">
        <v>1350184.9</v>
      </c>
      <c r="M135" s="4">
        <v>1357838.9</v>
      </c>
      <c r="N135" s="4">
        <v>1360622.79</v>
      </c>
      <c r="O135" s="4">
        <v>2731.44</v>
      </c>
      <c r="P135" s="4">
        <v>1357784.3</v>
      </c>
      <c r="Q135" s="4">
        <v>1357838.9</v>
      </c>
      <c r="R135" s="4">
        <v>1360622.79</v>
      </c>
      <c r="S135" s="4">
        <v>5116.7299999999996</v>
      </c>
      <c r="T135" s="4">
        <v>1357784.3</v>
      </c>
      <c r="W135" s="4">
        <v>0</v>
      </c>
      <c r="X135" s="4">
        <v>0.59889954133866141</v>
      </c>
      <c r="Y135" s="4">
        <v>1.0701553312456729</v>
      </c>
      <c r="Z135" s="4">
        <v>1.0701553312456729</v>
      </c>
      <c r="AC135" s="20">
        <v>7.7550281177166933E-2</v>
      </c>
      <c r="AD135" s="4">
        <v>0.71299999883970977</v>
      </c>
      <c r="AE135" s="4">
        <v>1.2450834377438686</v>
      </c>
      <c r="AF135" s="21">
        <v>1.2450834377438686</v>
      </c>
    </row>
    <row r="136" spans="4:32">
      <c r="D136" s="4">
        <v>2620042.08</v>
      </c>
      <c r="E136" s="4">
        <v>2622073.9300000002</v>
      </c>
      <c r="F136" s="4">
        <v>1191.52</v>
      </c>
      <c r="G136" s="4">
        <v>2620083.7000000002</v>
      </c>
      <c r="H136" s="4">
        <v>2620083.7000000002</v>
      </c>
      <c r="I136" s="4">
        <v>2635733.5</v>
      </c>
      <c r="J136" s="4">
        <v>2638722.98</v>
      </c>
      <c r="K136" s="4">
        <v>844.81</v>
      </c>
      <c r="L136" s="4">
        <v>2635621.6</v>
      </c>
      <c r="M136" s="4">
        <v>2648080.6</v>
      </c>
      <c r="N136" s="4">
        <v>2652663.79</v>
      </c>
      <c r="O136" s="4">
        <v>9165.07</v>
      </c>
      <c r="P136" s="4">
        <v>2647936.2999999998</v>
      </c>
      <c r="Q136" s="4">
        <v>2648080.6</v>
      </c>
      <c r="R136" s="4">
        <v>2652663.79</v>
      </c>
      <c r="S136" s="4">
        <v>18134.400000000001</v>
      </c>
      <c r="T136" s="4">
        <v>2647936.2999999998</v>
      </c>
      <c r="W136" s="4">
        <v>0</v>
      </c>
      <c r="X136" s="4">
        <v>0.65592358509990423</v>
      </c>
      <c r="Y136" s="4">
        <v>3.0583890404679024</v>
      </c>
      <c r="Z136" s="4">
        <v>3.0583890404679024</v>
      </c>
      <c r="AC136" s="20">
        <v>0.24430348806304647</v>
      </c>
      <c r="AD136" s="4">
        <v>0.80123031078205931</v>
      </c>
      <c r="AE136" s="4">
        <v>3.6635976763594278</v>
      </c>
      <c r="AF136" s="21">
        <v>3.6642541677422646</v>
      </c>
    </row>
    <row r="137" spans="4:32">
      <c r="D137" s="4">
        <v>2525547.2400000002</v>
      </c>
      <c r="E137" s="4">
        <v>2531717.2400000002</v>
      </c>
      <c r="F137" s="4">
        <v>1294.6199999999999</v>
      </c>
      <c r="G137" s="4">
        <v>2525141.9</v>
      </c>
      <c r="H137" s="4">
        <v>2525141.9</v>
      </c>
      <c r="I137" s="4">
        <v>2542112.9</v>
      </c>
      <c r="J137" s="4">
        <v>2545782.69</v>
      </c>
      <c r="K137" s="4">
        <v>1304.1199999999999</v>
      </c>
      <c r="L137" s="4">
        <v>2542001</v>
      </c>
      <c r="M137" s="4">
        <v>2602788.2999999998</v>
      </c>
      <c r="N137" s="4">
        <v>2618073.13</v>
      </c>
      <c r="O137" s="4">
        <v>7228.62</v>
      </c>
      <c r="P137" s="4">
        <v>2602501.2000000002</v>
      </c>
      <c r="Q137" s="4">
        <v>2602788.2999999998</v>
      </c>
      <c r="R137" s="4">
        <v>2618089.71</v>
      </c>
      <c r="S137" s="4">
        <v>17918.78</v>
      </c>
      <c r="T137" s="4">
        <v>2602501.2000000002</v>
      </c>
      <c r="W137" s="4">
        <v>0</v>
      </c>
      <c r="X137" s="15">
        <v>908.44556037434381</v>
      </c>
      <c r="Y137" s="4">
        <v>2.0314996576124185</v>
      </c>
      <c r="Z137" s="4">
        <v>2.0314996576124185</v>
      </c>
      <c r="AC137" s="20">
        <v>7.5325268203606406</v>
      </c>
      <c r="AD137" s="4">
        <v>1078.2926272540517</v>
      </c>
      <c r="AE137" s="4">
        <v>16.04656471125314</v>
      </c>
      <c r="AF137" s="21">
        <v>16.04656471125314</v>
      </c>
    </row>
    <row r="138" spans="4:32">
      <c r="W138" s="4">
        <v>6.25</v>
      </c>
      <c r="X138" s="15">
        <v>946.25</v>
      </c>
      <c r="Y138" s="4">
        <v>6.25</v>
      </c>
      <c r="Z138" s="16">
        <v>0</v>
      </c>
      <c r="AC138" s="20">
        <v>23.124999999999996</v>
      </c>
      <c r="AD138" s="4">
        <v>1309.75</v>
      </c>
      <c r="AE138" s="4">
        <v>57.8125</v>
      </c>
      <c r="AF138" s="21">
        <v>49.062500000000007</v>
      </c>
    </row>
    <row r="139" spans="4:32">
      <c r="D139" s="4">
        <v>43.81</v>
      </c>
      <c r="E139" s="4">
        <v>47.11</v>
      </c>
      <c r="F139" s="4">
        <v>960.01</v>
      </c>
      <c r="G139" s="4">
        <v>51.2</v>
      </c>
      <c r="H139" s="4">
        <v>51.2</v>
      </c>
      <c r="I139" s="4">
        <v>441.8</v>
      </c>
      <c r="J139" s="4">
        <v>516.21</v>
      </c>
      <c r="K139" s="4">
        <v>1009.39</v>
      </c>
      <c r="L139" s="4">
        <v>438.9</v>
      </c>
      <c r="M139" s="4">
        <v>44.7</v>
      </c>
      <c r="N139" s="4">
        <v>50.84</v>
      </c>
      <c r="O139" s="4">
        <v>621.41999999999996</v>
      </c>
      <c r="P139" s="4">
        <v>46</v>
      </c>
      <c r="Q139" s="4">
        <v>44.7</v>
      </c>
      <c r="R139" s="4">
        <v>50.84</v>
      </c>
      <c r="S139" s="4">
        <v>614.26</v>
      </c>
      <c r="T139" s="4">
        <v>46</v>
      </c>
      <c r="W139" s="4">
        <v>0</v>
      </c>
      <c r="X139" s="4">
        <v>4.2180440027976687</v>
      </c>
      <c r="Y139" s="4">
        <v>0.78388000029040139</v>
      </c>
      <c r="Z139" s="4">
        <v>0.18005764748874276</v>
      </c>
      <c r="AC139" s="20">
        <v>0.95425712909696192</v>
      </c>
      <c r="AD139" s="4">
        <v>4.4949068371083216</v>
      </c>
      <c r="AE139" s="4">
        <v>2.7807289914593536</v>
      </c>
      <c r="AF139" s="21">
        <v>2.3899990561494309</v>
      </c>
    </row>
    <row r="140" spans="4:32">
      <c r="D140" s="4">
        <v>17</v>
      </c>
      <c r="E140" s="4">
        <v>19.7</v>
      </c>
      <c r="F140" s="4">
        <v>1023</v>
      </c>
      <c r="G140" s="4">
        <v>23.2</v>
      </c>
      <c r="H140" s="4">
        <v>23.2</v>
      </c>
      <c r="I140" s="4">
        <v>167.4</v>
      </c>
      <c r="J140" s="4">
        <v>225.56</v>
      </c>
      <c r="K140" s="4">
        <v>830.12</v>
      </c>
      <c r="L140" s="4">
        <v>175.3</v>
      </c>
      <c r="M140" s="4">
        <v>17</v>
      </c>
      <c r="N140" s="4">
        <v>25.25</v>
      </c>
      <c r="O140" s="4">
        <v>641.5</v>
      </c>
      <c r="P140" s="4">
        <v>23.2</v>
      </c>
      <c r="Q140" s="4">
        <v>16</v>
      </c>
      <c r="R140" s="4">
        <v>23.85</v>
      </c>
      <c r="S140" s="4">
        <v>949.34</v>
      </c>
      <c r="T140" s="4">
        <v>20.100000000000001</v>
      </c>
      <c r="W140" s="4">
        <v>0</v>
      </c>
      <c r="X140" s="15">
        <v>334.22317138280835</v>
      </c>
      <c r="Y140" s="4">
        <v>41.457554725040033</v>
      </c>
      <c r="Z140" s="4">
        <v>54.991991457554725</v>
      </c>
      <c r="AC140" s="20">
        <v>61.438868126001054</v>
      </c>
      <c r="AD140" s="4">
        <v>370.68873465029361</v>
      </c>
      <c r="AE140" s="4">
        <v>90.854244527495993</v>
      </c>
      <c r="AF140" s="21">
        <v>100.194874532835</v>
      </c>
    </row>
    <row r="141" spans="4:32">
      <c r="D141" s="4">
        <v>8264.02</v>
      </c>
      <c r="E141" s="4">
        <v>8342.8799999999992</v>
      </c>
      <c r="F141" s="4">
        <v>297.22000000000003</v>
      </c>
      <c r="G141" s="4">
        <v>8288.9</v>
      </c>
      <c r="H141" s="4">
        <v>8288.9</v>
      </c>
      <c r="I141" s="4">
        <v>8612.6</v>
      </c>
      <c r="J141" s="4">
        <v>8635.48</v>
      </c>
      <c r="K141" s="4">
        <v>486.64</v>
      </c>
      <c r="L141" s="4">
        <v>8636.1</v>
      </c>
      <c r="M141" s="4">
        <v>8328.7999999999993</v>
      </c>
      <c r="N141" s="4">
        <v>8493.82</v>
      </c>
      <c r="O141" s="4">
        <v>416.89</v>
      </c>
      <c r="P141" s="4">
        <v>8284.2999999999993</v>
      </c>
      <c r="Q141" s="4">
        <v>8278.9</v>
      </c>
      <c r="R141" s="4">
        <v>8461.5300000000007</v>
      </c>
      <c r="S141" s="4">
        <v>491.07</v>
      </c>
      <c r="T141" s="4">
        <v>8287.4</v>
      </c>
      <c r="W141" s="4">
        <v>0.47165926305982597</v>
      </c>
      <c r="X141" s="4">
        <v>8.4387615948584311E-3</v>
      </c>
      <c r="Y141" s="4">
        <v>4.3881560293239285E-3</v>
      </c>
      <c r="Z141" s="16">
        <v>0</v>
      </c>
      <c r="AC141" s="20">
        <v>1.3290374410974426</v>
      </c>
      <c r="AD141" s="4">
        <v>1.5171880696163993</v>
      </c>
      <c r="AE141" s="4">
        <v>1.1997218584178275</v>
      </c>
      <c r="AF141" s="26">
        <v>1.1217477012813404</v>
      </c>
    </row>
    <row r="142" spans="4:32">
      <c r="D142" s="4">
        <v>374.6</v>
      </c>
      <c r="E142" s="4">
        <v>604.75</v>
      </c>
      <c r="F142" s="4">
        <v>907.73</v>
      </c>
      <c r="G142" s="4">
        <v>353.4</v>
      </c>
      <c r="H142" s="4">
        <v>353.4</v>
      </c>
      <c r="I142" s="4">
        <v>1626.6</v>
      </c>
      <c r="J142" s="4">
        <v>1763.2</v>
      </c>
      <c r="K142" s="4">
        <v>790.16</v>
      </c>
      <c r="L142" s="4">
        <v>1607</v>
      </c>
      <c r="M142" s="4">
        <v>529.9</v>
      </c>
      <c r="N142" s="4">
        <v>714.94</v>
      </c>
      <c r="O142" s="4">
        <v>924.88</v>
      </c>
      <c r="P142" s="4">
        <v>508.7</v>
      </c>
      <c r="Q142" s="4">
        <v>580.6</v>
      </c>
      <c r="R142" s="4">
        <v>749.93</v>
      </c>
      <c r="S142" s="4">
        <v>921.61</v>
      </c>
      <c r="T142" s="4">
        <v>560.1</v>
      </c>
      <c r="W142" s="4">
        <v>0</v>
      </c>
      <c r="X142" s="4">
        <v>9.0771203670710712</v>
      </c>
      <c r="Y142" s="4">
        <v>2.2078760982692534</v>
      </c>
      <c r="Z142" s="4">
        <v>2.2078760982692534</v>
      </c>
      <c r="AC142" s="20">
        <v>8.7533798396731761</v>
      </c>
      <c r="AD142" s="4">
        <v>13.197904737587249</v>
      </c>
      <c r="AE142" s="4">
        <v>11.018991888384798</v>
      </c>
      <c r="AF142" s="21">
        <v>11.018991888384798</v>
      </c>
    </row>
    <row r="143" spans="4:32">
      <c r="D143" s="4">
        <v>29764.93</v>
      </c>
      <c r="E143" s="4">
        <v>30018.93</v>
      </c>
      <c r="F143" s="4">
        <v>784.09</v>
      </c>
      <c r="G143" s="4">
        <v>29791.1</v>
      </c>
      <c r="H143" s="4">
        <v>29791.1</v>
      </c>
      <c r="I143" s="4">
        <v>29627.7</v>
      </c>
      <c r="J143" s="4">
        <v>30074.67</v>
      </c>
      <c r="K143" s="4">
        <v>894.39</v>
      </c>
      <c r="L143" s="4">
        <v>29690.9</v>
      </c>
      <c r="M143" s="4">
        <v>29626.5</v>
      </c>
      <c r="N143" s="4">
        <v>29980.62</v>
      </c>
      <c r="O143" s="4">
        <v>1066.67</v>
      </c>
      <c r="P143" s="4">
        <v>29695.5</v>
      </c>
      <c r="Q143" s="4">
        <v>29625.200000000001</v>
      </c>
      <c r="R143" s="4">
        <v>29957.52</v>
      </c>
      <c r="S143" s="4">
        <v>1112.56</v>
      </c>
      <c r="T143" s="4">
        <v>29702</v>
      </c>
      <c r="W143" s="4">
        <v>0.26061075469951822</v>
      </c>
      <c r="X143" s="4">
        <v>0.43232157905761204</v>
      </c>
      <c r="Y143" s="16">
        <v>0</v>
      </c>
      <c r="Z143" s="16">
        <v>0</v>
      </c>
      <c r="AC143" s="20">
        <v>0.54817158417239054</v>
      </c>
      <c r="AD143" s="4">
        <v>0.87599312182455835</v>
      </c>
      <c r="AE143" s="4">
        <v>0.7547847647439847</v>
      </c>
      <c r="AF143" s="21">
        <v>0.79983145547452927</v>
      </c>
    </row>
    <row r="144" spans="4:32">
      <c r="D144" s="4">
        <v>5248.03</v>
      </c>
      <c r="E144" s="4">
        <v>5707.41</v>
      </c>
      <c r="F144" s="4">
        <v>305.23</v>
      </c>
      <c r="G144" s="4">
        <v>5193.2</v>
      </c>
      <c r="H144" s="4">
        <v>5193.2</v>
      </c>
      <c r="I144" s="4">
        <v>5724.4</v>
      </c>
      <c r="J144" s="4">
        <v>5940.66</v>
      </c>
      <c r="K144" s="4">
        <v>1204.43</v>
      </c>
      <c r="L144" s="4">
        <v>5685.2</v>
      </c>
      <c r="M144" s="4">
        <v>5363.9</v>
      </c>
      <c r="N144" s="4">
        <v>5826.31</v>
      </c>
      <c r="O144" s="4">
        <v>279.39</v>
      </c>
      <c r="P144" s="4">
        <v>5346.3</v>
      </c>
      <c r="Q144" s="4">
        <v>5363.9</v>
      </c>
      <c r="R144" s="4">
        <v>5826.31</v>
      </c>
      <c r="S144" s="4">
        <v>326.69</v>
      </c>
      <c r="T144" s="4">
        <v>5346.3</v>
      </c>
      <c r="W144" s="4">
        <v>1.9101781612889977E-2</v>
      </c>
      <c r="X144" s="4">
        <v>3.9377121784724132</v>
      </c>
      <c r="Y144" s="16">
        <v>0</v>
      </c>
      <c r="Z144" s="4">
        <v>0.3147790598720886</v>
      </c>
      <c r="AC144" s="20">
        <v>0.96343896122910588</v>
      </c>
      <c r="AD144" s="4">
        <v>4.5451945865322276</v>
      </c>
      <c r="AE144" s="4">
        <v>1.073108351710705</v>
      </c>
      <c r="AF144" s="21">
        <v>1.58357201028523</v>
      </c>
    </row>
    <row r="145" spans="4:32">
      <c r="D145" s="4">
        <v>82328.800000000003</v>
      </c>
      <c r="E145" s="4">
        <v>82564.929999999993</v>
      </c>
      <c r="F145" s="4">
        <v>1060.08</v>
      </c>
      <c r="G145" s="4">
        <v>82390.3</v>
      </c>
      <c r="H145" s="4">
        <v>82390.3</v>
      </c>
      <c r="I145" s="4">
        <v>82469.8</v>
      </c>
      <c r="J145" s="4">
        <v>82834.12</v>
      </c>
      <c r="K145" s="4">
        <v>916.44</v>
      </c>
      <c r="L145" s="4">
        <v>82567.7</v>
      </c>
      <c r="M145" s="4">
        <v>82114.8</v>
      </c>
      <c r="N145" s="4">
        <v>82734.59</v>
      </c>
      <c r="O145" s="4">
        <v>887.57</v>
      </c>
      <c r="P145" s="4">
        <v>82179.399999999994</v>
      </c>
      <c r="Q145" s="4">
        <v>82114.8</v>
      </c>
      <c r="R145" s="4">
        <v>82771.58</v>
      </c>
      <c r="S145" s="4">
        <v>866.42</v>
      </c>
      <c r="T145" s="4">
        <v>82179.399999999994</v>
      </c>
      <c r="W145" s="4">
        <v>0.98381527999341378</v>
      </c>
      <c r="X145" s="16">
        <v>0</v>
      </c>
      <c r="Y145" s="4">
        <v>1.1533766224039665</v>
      </c>
      <c r="Z145" s="4">
        <v>1.1533766224039665</v>
      </c>
      <c r="AC145" s="20">
        <v>1.956895669345398</v>
      </c>
      <c r="AD145" s="16">
        <v>1.7791624954543148</v>
      </c>
      <c r="AE145" s="4">
        <v>2.3285642125375254</v>
      </c>
      <c r="AF145" s="21">
        <v>2.314051306119973</v>
      </c>
    </row>
    <row r="146" spans="4:32">
      <c r="D146" s="4">
        <v>43721.55</v>
      </c>
      <c r="E146" s="4">
        <v>44134.35</v>
      </c>
      <c r="F146" s="4">
        <v>1488.81</v>
      </c>
      <c r="G146" s="4">
        <v>43829.2</v>
      </c>
      <c r="H146" s="4">
        <v>43829.2</v>
      </c>
      <c r="I146" s="4">
        <v>45434.5</v>
      </c>
      <c r="J146" s="4">
        <v>45700.05</v>
      </c>
      <c r="K146" s="4">
        <v>1065.52</v>
      </c>
      <c r="L146" s="4">
        <v>45533.9</v>
      </c>
      <c r="M146" s="4">
        <v>43713.2</v>
      </c>
      <c r="N146" s="4">
        <v>44182.29</v>
      </c>
      <c r="O146" s="4">
        <v>1202.75</v>
      </c>
      <c r="P146" s="4">
        <v>43800</v>
      </c>
      <c r="Q146" s="4">
        <v>43850.8</v>
      </c>
      <c r="R146" s="4">
        <v>44405.43</v>
      </c>
      <c r="S146" s="4">
        <v>1578.22</v>
      </c>
      <c r="T146" s="4">
        <v>43906.6</v>
      </c>
      <c r="W146" s="4">
        <v>0</v>
      </c>
      <c r="X146" s="4">
        <v>2.8146982432518186</v>
      </c>
      <c r="Y146" s="4">
        <v>1.7035334755548475</v>
      </c>
      <c r="Z146" s="4">
        <v>3.2351133747877792</v>
      </c>
      <c r="AC146" s="20">
        <v>2.0003096300630956</v>
      </c>
      <c r="AD146" s="4">
        <v>4.1023379436965612</v>
      </c>
      <c r="AE146" s="4">
        <v>3.3879636284098344</v>
      </c>
      <c r="AF146" s="21">
        <v>4.8701400152826677</v>
      </c>
    </row>
    <row r="147" spans="4:32">
      <c r="D147" s="4">
        <v>121351.14</v>
      </c>
      <c r="E147" s="4">
        <v>122520.48</v>
      </c>
      <c r="F147" s="4">
        <v>1198</v>
      </c>
      <c r="G147" s="4">
        <v>121631.9</v>
      </c>
      <c r="H147" s="4">
        <v>121631.9</v>
      </c>
      <c r="I147" s="4">
        <v>120168.9</v>
      </c>
      <c r="J147" s="4">
        <v>122306.9</v>
      </c>
      <c r="K147" s="4">
        <v>853.01</v>
      </c>
      <c r="L147" s="4">
        <v>120521.3</v>
      </c>
      <c r="M147" s="4">
        <v>121554.9</v>
      </c>
      <c r="N147" s="4">
        <v>122967.11</v>
      </c>
      <c r="O147" s="4">
        <v>1066.8800000000001</v>
      </c>
      <c r="P147" s="4">
        <v>121856.2</v>
      </c>
      <c r="Q147" s="4">
        <v>121554.9</v>
      </c>
      <c r="R147" s="4">
        <v>122949.67</v>
      </c>
      <c r="S147" s="4">
        <v>1179.93</v>
      </c>
      <c r="T147" s="4">
        <v>121856.2</v>
      </c>
      <c r="W147" s="4">
        <v>0</v>
      </c>
      <c r="X147" s="4">
        <v>6.9954240120250963</v>
      </c>
      <c r="Y147" s="4">
        <v>1.970475331644959</v>
      </c>
      <c r="Z147" s="4">
        <v>2.8862781432613809</v>
      </c>
      <c r="AC147" s="20">
        <v>0.92031442654898554</v>
      </c>
      <c r="AD147" s="4">
        <v>8.1856375489606457</v>
      </c>
      <c r="AE147" s="4">
        <v>4.0922823324609032</v>
      </c>
      <c r="AF147" s="21">
        <v>5.1505586424660565</v>
      </c>
    </row>
    <row r="148" spans="4:32">
      <c r="D148" s="4">
        <v>42243.96</v>
      </c>
      <c r="E148" s="4">
        <v>43088.97</v>
      </c>
      <c r="F148" s="4">
        <v>1425.05</v>
      </c>
      <c r="G148" s="4">
        <v>42307.7</v>
      </c>
      <c r="H148" s="4">
        <v>42307.7</v>
      </c>
      <c r="I148" s="4">
        <v>43433</v>
      </c>
      <c r="J148" s="4">
        <v>43976.95</v>
      </c>
      <c r="K148" s="4">
        <v>1267.3800000000001</v>
      </c>
      <c r="L148" s="4">
        <v>43476.7</v>
      </c>
      <c r="M148" s="4">
        <v>42963.6</v>
      </c>
      <c r="N148" s="4">
        <v>43675.17</v>
      </c>
      <c r="O148" s="4">
        <v>1404.38</v>
      </c>
      <c r="P148" s="4">
        <v>42947.199999999997</v>
      </c>
      <c r="Q148" s="4">
        <v>43610.6</v>
      </c>
      <c r="R148" s="4">
        <v>44301.3</v>
      </c>
      <c r="S148" s="4">
        <v>1379.75</v>
      </c>
      <c r="T148" s="4">
        <v>43692.1</v>
      </c>
      <c r="W148" s="4">
        <v>0</v>
      </c>
      <c r="X148" s="4">
        <v>5.8553758883472158</v>
      </c>
      <c r="Y148" s="4">
        <v>1.4625522115638443</v>
      </c>
      <c r="Z148" s="4">
        <v>3.1947681604073264</v>
      </c>
      <c r="AC148" s="20">
        <v>1.2643612348951367</v>
      </c>
      <c r="AD148" s="4">
        <v>8.396527189115135</v>
      </c>
      <c r="AE148" s="4">
        <v>3.4535950742727501</v>
      </c>
      <c r="AF148" s="21">
        <v>4.7673644035487843</v>
      </c>
    </row>
    <row r="149" spans="4:32">
      <c r="D149" s="4">
        <v>36350.620000000003</v>
      </c>
      <c r="E149" s="4">
        <v>36685.160000000003</v>
      </c>
      <c r="F149" s="4">
        <v>1488.08</v>
      </c>
      <c r="G149" s="4">
        <v>36448.9</v>
      </c>
      <c r="H149" s="4">
        <v>36448.9</v>
      </c>
      <c r="I149" s="4">
        <v>38893.5</v>
      </c>
      <c r="J149" s="4">
        <v>39326.15</v>
      </c>
      <c r="K149" s="4">
        <v>1445.19</v>
      </c>
      <c r="L149" s="4">
        <v>38973.4</v>
      </c>
      <c r="M149" s="4">
        <v>37066.9</v>
      </c>
      <c r="N149" s="4">
        <v>37838.19</v>
      </c>
      <c r="O149" s="4">
        <v>1480.61</v>
      </c>
      <c r="P149" s="4">
        <v>37098.9</v>
      </c>
      <c r="Q149" s="4">
        <v>37399.800000000003</v>
      </c>
      <c r="R149" s="4">
        <v>38222.879999999997</v>
      </c>
      <c r="S149" s="4">
        <v>1554.61</v>
      </c>
      <c r="T149" s="4">
        <v>37571.1</v>
      </c>
      <c r="W149" s="4">
        <v>0</v>
      </c>
      <c r="X149" s="4">
        <v>3.3298673195181578</v>
      </c>
      <c r="Y149" s="4">
        <v>2.8203432023222521</v>
      </c>
      <c r="Z149" s="4">
        <v>4.1205168489448472</v>
      </c>
      <c r="AC149" s="20">
        <v>1.2177358582786455</v>
      </c>
      <c r="AD149" s="4">
        <v>4.7568026658623284</v>
      </c>
      <c r="AE149" s="4">
        <v>4.1004221149536013</v>
      </c>
      <c r="AF149" s="21">
        <v>5.0323875891709129</v>
      </c>
    </row>
    <row r="150" spans="4:32">
      <c r="D150" s="4">
        <v>35803.85</v>
      </c>
      <c r="E150" s="4">
        <v>36256.54</v>
      </c>
      <c r="F150" s="4">
        <v>1511.16</v>
      </c>
      <c r="G150" s="4">
        <v>35853.199999999997</v>
      </c>
      <c r="H150" s="4">
        <v>35853.199999999997</v>
      </c>
      <c r="I150" s="4">
        <v>37900.300000000003</v>
      </c>
      <c r="J150" s="4">
        <v>38810.129999999997</v>
      </c>
      <c r="K150" s="4">
        <v>1192.48</v>
      </c>
      <c r="L150" s="4">
        <v>37937.800000000003</v>
      </c>
      <c r="M150" s="4">
        <v>36327.5</v>
      </c>
      <c r="N150" s="4">
        <v>37040.370000000003</v>
      </c>
      <c r="O150" s="4">
        <v>1373.59</v>
      </c>
      <c r="P150" s="4">
        <v>36318.9</v>
      </c>
      <c r="Q150" s="4">
        <v>36947.699999999997</v>
      </c>
      <c r="R150" s="4">
        <v>37510.75</v>
      </c>
      <c r="S150" s="4">
        <v>1356.19</v>
      </c>
      <c r="T150" s="4">
        <v>37037</v>
      </c>
      <c r="W150" s="4">
        <v>0</v>
      </c>
      <c r="X150" s="4">
        <v>1.6453315909593431</v>
      </c>
      <c r="Y150" s="4">
        <v>2.9060346486560662</v>
      </c>
      <c r="Z150" s="4">
        <v>3.2736049139003383</v>
      </c>
      <c r="AC150" s="20">
        <v>1.1382524971651808</v>
      </c>
      <c r="AD150" s="4">
        <v>3.493124101566548</v>
      </c>
      <c r="AE150" s="4">
        <v>3.8400688136302388</v>
      </c>
      <c r="AF150" s="21">
        <v>4.2771224494238975</v>
      </c>
    </row>
    <row r="151" spans="4:32">
      <c r="D151" s="4">
        <v>119484.04</v>
      </c>
      <c r="E151" s="4">
        <v>120939.04</v>
      </c>
      <c r="F151" s="4">
        <v>1597.88</v>
      </c>
      <c r="G151" s="4">
        <v>119510.2</v>
      </c>
      <c r="H151" s="4">
        <v>119510.2</v>
      </c>
      <c r="I151" s="4">
        <v>123462.7</v>
      </c>
      <c r="J151" s="4">
        <v>125167.66</v>
      </c>
      <c r="K151" s="4">
        <v>1285.79</v>
      </c>
      <c r="L151" s="4">
        <v>123600</v>
      </c>
      <c r="M151" s="4">
        <v>122853.9</v>
      </c>
      <c r="N151" s="4">
        <v>124383.39</v>
      </c>
      <c r="O151" s="4">
        <v>1224.45</v>
      </c>
      <c r="P151" s="4">
        <v>122900.4</v>
      </c>
      <c r="Q151" s="4">
        <v>124407.4</v>
      </c>
      <c r="R151" s="4">
        <v>125496.94</v>
      </c>
      <c r="S151" s="4">
        <v>1166.3</v>
      </c>
      <c r="T151" s="4">
        <v>124466.8</v>
      </c>
      <c r="W151" s="4">
        <v>0</v>
      </c>
      <c r="X151" s="4">
        <v>1.2096981898316845</v>
      </c>
      <c r="Y151" s="4">
        <v>1.6576875761838354</v>
      </c>
      <c r="Z151" s="4">
        <v>2.5994966061894793</v>
      </c>
      <c r="AC151" s="20">
        <v>0.50355374764105898</v>
      </c>
      <c r="AD151" s="4">
        <v>1.9505820773581528</v>
      </c>
      <c r="AE151" s="4">
        <v>2.6981667786777881</v>
      </c>
      <c r="AF151" s="21">
        <v>3.1189833999609338</v>
      </c>
    </row>
    <row r="152" spans="4:32">
      <c r="D152" s="4">
        <v>114372.69</v>
      </c>
      <c r="E152" s="4">
        <v>115674.54</v>
      </c>
      <c r="F152" s="4">
        <v>1425.97</v>
      </c>
      <c r="G152" s="4">
        <v>114316.4</v>
      </c>
      <c r="H152" s="4">
        <v>114316.4</v>
      </c>
      <c r="I152" s="4">
        <v>116254.5</v>
      </c>
      <c r="J152" s="4">
        <v>118367.87</v>
      </c>
      <c r="K152" s="4">
        <v>1242.51</v>
      </c>
      <c r="L152" s="4">
        <v>116150.6</v>
      </c>
      <c r="M152" s="4">
        <v>117696.4</v>
      </c>
      <c r="N152" s="4">
        <v>118764.68</v>
      </c>
      <c r="O152" s="4">
        <v>1097.75</v>
      </c>
      <c r="P152" s="4">
        <v>117863.3</v>
      </c>
      <c r="Q152" s="4">
        <v>118116.8</v>
      </c>
      <c r="R152" s="4">
        <v>119264.55</v>
      </c>
      <c r="S152" s="4">
        <v>999.4</v>
      </c>
      <c r="T152" s="4">
        <v>118314.6</v>
      </c>
      <c r="W152" s="4">
        <v>0</v>
      </c>
      <c r="X152" s="4">
        <v>1.6722944901467134</v>
      </c>
      <c r="Y152" s="4">
        <v>1.9584004778269544</v>
      </c>
      <c r="Z152" s="4">
        <v>2.8030177470024409</v>
      </c>
      <c r="AC152" s="20">
        <v>1.1249656373285419</v>
      </c>
      <c r="AD152" s="4">
        <v>2.9586509731042638</v>
      </c>
      <c r="AE152" s="4">
        <v>2.7097254514073623</v>
      </c>
      <c r="AF152" s="21">
        <v>3.4233984776365944</v>
      </c>
    </row>
    <row r="153" spans="4:32">
      <c r="D153" s="4">
        <v>181321.26</v>
      </c>
      <c r="E153" s="4">
        <v>182234.31</v>
      </c>
      <c r="F153" s="4">
        <v>1543.91</v>
      </c>
      <c r="G153" s="4">
        <v>181231.9</v>
      </c>
      <c r="H153" s="4">
        <v>181231.9</v>
      </c>
      <c r="I153" s="4">
        <v>183514.7</v>
      </c>
      <c r="J153" s="4">
        <v>184858.08</v>
      </c>
      <c r="K153" s="4">
        <v>1365.37</v>
      </c>
      <c r="L153" s="4">
        <v>183444.1</v>
      </c>
      <c r="M153" s="4">
        <v>184327</v>
      </c>
      <c r="N153" s="4">
        <v>186213.61</v>
      </c>
      <c r="O153" s="4">
        <v>1142.96</v>
      </c>
      <c r="P153" s="4">
        <v>184212.1</v>
      </c>
      <c r="Q153" s="4">
        <v>186034.7</v>
      </c>
      <c r="R153" s="4">
        <v>186976.64000000001</v>
      </c>
      <c r="S153" s="4">
        <v>959.72</v>
      </c>
      <c r="T153" s="4">
        <v>186061.6</v>
      </c>
      <c r="W153" s="4">
        <v>0</v>
      </c>
      <c r="X153" s="4">
        <v>1.1074209247057085</v>
      </c>
      <c r="Y153" s="4">
        <v>0.54316218652012083</v>
      </c>
      <c r="Z153" s="4">
        <v>1.9357507785257275</v>
      </c>
      <c r="AC153" s="20">
        <v>0.50274788577446883</v>
      </c>
      <c r="AD153" s="4">
        <v>1.7317289364278474</v>
      </c>
      <c r="AE153" s="4">
        <v>2.1115561590064407</v>
      </c>
      <c r="AF153" s="21">
        <v>3.1734096600212434</v>
      </c>
    </row>
    <row r="154" spans="4:32">
      <c r="D154" s="4">
        <v>180282.84</v>
      </c>
      <c r="E154" s="4">
        <v>182310.96</v>
      </c>
      <c r="F154" s="4">
        <v>1038.2</v>
      </c>
      <c r="G154" s="4">
        <v>180337.5</v>
      </c>
      <c r="H154" s="4">
        <v>180337.5</v>
      </c>
      <c r="I154" s="4">
        <v>183297.7</v>
      </c>
      <c r="J154" s="4">
        <v>185616.78</v>
      </c>
      <c r="K154" s="4">
        <v>1225.5999999999999</v>
      </c>
      <c r="L154" s="4">
        <v>183521</v>
      </c>
      <c r="M154" s="4">
        <v>183813.5</v>
      </c>
      <c r="N154" s="4">
        <v>185168.01</v>
      </c>
      <c r="O154" s="4">
        <v>1185.78</v>
      </c>
      <c r="P154" s="4">
        <v>183772</v>
      </c>
      <c r="Q154" s="4">
        <v>185336.2</v>
      </c>
      <c r="R154" s="4">
        <v>186454.64</v>
      </c>
      <c r="S154" s="4">
        <v>1439.33</v>
      </c>
      <c r="T154" s="4">
        <v>185291.4</v>
      </c>
      <c r="W154" s="4">
        <v>0</v>
      </c>
      <c r="X154" s="4">
        <v>0.52127170003580792</v>
      </c>
      <c r="Y154" s="4">
        <v>1.2157620272280316</v>
      </c>
      <c r="Z154" s="4">
        <v>2.1830236251853328</v>
      </c>
      <c r="AC154" s="20">
        <v>0.30835523958179156</v>
      </c>
      <c r="AD154" s="4">
        <v>1.5138493871061209</v>
      </c>
      <c r="AE154" s="4">
        <v>1.890529299009962</v>
      </c>
      <c r="AF154" s="21">
        <v>2.6608480256950697</v>
      </c>
    </row>
    <row r="155" spans="4:32">
      <c r="D155" s="4">
        <v>425567.18</v>
      </c>
      <c r="E155" s="4">
        <v>427706.71</v>
      </c>
      <c r="F155" s="4">
        <v>1183.53</v>
      </c>
      <c r="G155" s="4">
        <v>425714.7</v>
      </c>
      <c r="H155" s="4">
        <v>425714.7</v>
      </c>
      <c r="I155" s="4">
        <v>430280</v>
      </c>
      <c r="J155" s="4">
        <v>432936.85</v>
      </c>
      <c r="K155" s="4">
        <v>1021.84</v>
      </c>
      <c r="L155" s="4">
        <v>430400.1</v>
      </c>
      <c r="M155" s="4">
        <v>427878.7</v>
      </c>
      <c r="N155" s="4">
        <v>434553.27</v>
      </c>
      <c r="O155" s="4">
        <v>1311.87</v>
      </c>
      <c r="P155" s="4">
        <v>427920.1</v>
      </c>
      <c r="Q155" s="4">
        <v>433805.1</v>
      </c>
      <c r="R155" s="4">
        <v>439072.17</v>
      </c>
      <c r="S155" s="4">
        <v>1463.13</v>
      </c>
      <c r="T155" s="4">
        <v>434264.5</v>
      </c>
      <c r="W155" s="4">
        <v>0</v>
      </c>
      <c r="X155" s="4">
        <v>0.82833034253257265</v>
      </c>
      <c r="Y155" s="4">
        <v>1.1610181947621792</v>
      </c>
      <c r="Z155" s="4">
        <v>1.608035774489823</v>
      </c>
      <c r="AC155" s="20">
        <v>0.45168701483295076</v>
      </c>
      <c r="AD155" s="4">
        <v>1.1676764633382601</v>
      </c>
      <c r="AE155" s="4">
        <v>1.4886136558080771</v>
      </c>
      <c r="AF155" s="21">
        <v>3.5486729301887689</v>
      </c>
    </row>
    <row r="156" spans="4:32">
      <c r="D156" s="4">
        <v>417126.04</v>
      </c>
      <c r="E156" s="4">
        <v>418412.27</v>
      </c>
      <c r="F156" s="4">
        <v>1205.1300000000001</v>
      </c>
      <c r="G156" s="4">
        <v>417445.2</v>
      </c>
      <c r="H156" s="4">
        <v>417445.2</v>
      </c>
      <c r="I156" s="4">
        <v>419300.4</v>
      </c>
      <c r="J156" s="4">
        <v>423440.7</v>
      </c>
      <c r="K156" s="4">
        <v>1067.69</v>
      </c>
      <c r="L156" s="4">
        <v>419659.2</v>
      </c>
      <c r="M156" s="4">
        <v>422197.3</v>
      </c>
      <c r="N156" s="4">
        <v>425011.93</v>
      </c>
      <c r="O156" s="4">
        <v>1288.42</v>
      </c>
      <c r="P156" s="4">
        <v>422363.7</v>
      </c>
      <c r="Q156" s="4">
        <v>426232</v>
      </c>
      <c r="R156" s="4">
        <v>428225.13</v>
      </c>
      <c r="S156" s="4">
        <v>1318.33</v>
      </c>
      <c r="T156" s="4">
        <v>426270.1</v>
      </c>
      <c r="W156" s="4">
        <v>0</v>
      </c>
      <c r="X156" s="4">
        <v>1.2394421776585312</v>
      </c>
      <c r="Y156" s="4">
        <v>1.1267731210694703</v>
      </c>
      <c r="Z156" s="4">
        <v>1.2053131162204749</v>
      </c>
      <c r="AC156" s="20">
        <v>0.4615547474237402</v>
      </c>
      <c r="AD156" s="4">
        <v>1.4760865978309208</v>
      </c>
      <c r="AE156" s="4">
        <v>1.7447736849213284</v>
      </c>
      <c r="AF156" s="21">
        <v>3.6726134789416656</v>
      </c>
    </row>
    <row r="157" spans="4:32">
      <c r="D157" s="4">
        <v>531970.13</v>
      </c>
      <c r="E157" s="4">
        <v>534372.97</v>
      </c>
      <c r="F157" s="4">
        <v>1252.19</v>
      </c>
      <c r="G157" s="4">
        <v>531943.30000000005</v>
      </c>
      <c r="H157" s="4">
        <v>531943.30000000005</v>
      </c>
      <c r="I157" s="4">
        <v>536376.6</v>
      </c>
      <c r="J157" s="4">
        <v>538181.81999999995</v>
      </c>
      <c r="K157" s="4">
        <v>684.1</v>
      </c>
      <c r="L157" s="4">
        <v>536289.6</v>
      </c>
      <c r="M157" s="4">
        <v>538146.4</v>
      </c>
      <c r="N157" s="4">
        <v>539889.11</v>
      </c>
      <c r="O157" s="4">
        <v>1352.54</v>
      </c>
      <c r="P157" s="4">
        <v>538061.6</v>
      </c>
      <c r="Q157" s="4">
        <v>540524.4</v>
      </c>
      <c r="R157" s="4">
        <v>550848.01</v>
      </c>
      <c r="S157" s="4">
        <v>1711.92</v>
      </c>
      <c r="T157" s="4">
        <v>540501.1</v>
      </c>
      <c r="W157" s="4">
        <v>0</v>
      </c>
      <c r="X157" s="4">
        <v>0.80452524580132045</v>
      </c>
      <c r="Y157" s="4">
        <v>2.3289253645198649</v>
      </c>
      <c r="Z157" s="4">
        <v>6.8962682579257955</v>
      </c>
      <c r="AC157" s="20">
        <v>0.21373443632459929</v>
      </c>
      <c r="AD157" s="4">
        <v>1.063869427119172</v>
      </c>
      <c r="AE157" s="4">
        <v>4.2811912400458469</v>
      </c>
      <c r="AF157" s="21">
        <v>10.455310068257701</v>
      </c>
    </row>
    <row r="158" spans="4:32">
      <c r="D158" s="4">
        <v>532976.86</v>
      </c>
      <c r="E158" s="4">
        <v>535436.84</v>
      </c>
      <c r="F158" s="4">
        <v>1136.58</v>
      </c>
      <c r="G158" s="4">
        <v>533136.6</v>
      </c>
      <c r="H158" s="4">
        <v>533136.6</v>
      </c>
      <c r="I158" s="4">
        <v>539582.80000000005</v>
      </c>
      <c r="J158" s="4">
        <v>540844.06000000006</v>
      </c>
      <c r="K158" s="4">
        <v>1178.3</v>
      </c>
      <c r="L158" s="4">
        <v>539615.9</v>
      </c>
      <c r="M158" s="4">
        <v>538982.30000000005</v>
      </c>
      <c r="N158" s="4">
        <v>542276.1</v>
      </c>
      <c r="O158" s="4">
        <v>1192.9100000000001</v>
      </c>
      <c r="P158" s="4">
        <v>538753.19999999995</v>
      </c>
      <c r="Q158" s="4">
        <v>539400.9</v>
      </c>
      <c r="R158" s="4">
        <v>552551.04</v>
      </c>
      <c r="S158" s="4">
        <v>1770.89</v>
      </c>
      <c r="T158" s="4">
        <v>539120.1</v>
      </c>
      <c r="W158" s="4">
        <v>0</v>
      </c>
      <c r="X158" s="4">
        <v>0.63784657083035512</v>
      </c>
      <c r="Y158" s="4">
        <v>2.5751049905616932</v>
      </c>
      <c r="Z158" s="4">
        <v>6.7782329098747489</v>
      </c>
      <c r="AC158" s="20">
        <v>0.20407102245929737</v>
      </c>
      <c r="AD158" s="4">
        <v>0.94526286883272381</v>
      </c>
      <c r="AE158" s="4">
        <v>5.8006033383557032</v>
      </c>
      <c r="AF158" s="21">
        <v>9.3016229240895729</v>
      </c>
    </row>
    <row r="159" spans="4:32">
      <c r="D159" s="4">
        <v>1096037.7</v>
      </c>
      <c r="E159" s="4">
        <v>1098380.31</v>
      </c>
      <c r="F159" s="4">
        <v>1121.46</v>
      </c>
      <c r="G159" s="4">
        <v>1095927.7</v>
      </c>
      <c r="H159" s="4">
        <v>1095927.7</v>
      </c>
      <c r="I159" s="4">
        <v>1104855.6000000001</v>
      </c>
      <c r="J159" s="4">
        <v>1107698.1100000001</v>
      </c>
      <c r="K159" s="4">
        <v>1025.08</v>
      </c>
      <c r="L159" s="4">
        <v>1104757.3999999999</v>
      </c>
      <c r="M159" s="4">
        <v>1121563.6000000001</v>
      </c>
      <c r="N159" s="4">
        <v>1142961.17</v>
      </c>
      <c r="O159" s="4">
        <v>2288.61</v>
      </c>
      <c r="P159" s="4">
        <v>1121165.2</v>
      </c>
      <c r="Q159" s="4">
        <v>1171623.3999999999</v>
      </c>
      <c r="R159" s="4">
        <v>1210631.8400000001</v>
      </c>
      <c r="S159" s="4">
        <v>3492.25</v>
      </c>
      <c r="T159" s="4">
        <v>1171464</v>
      </c>
      <c r="W159" s="4">
        <v>0</v>
      </c>
      <c r="X159" s="4">
        <v>0.59731744677574317</v>
      </c>
      <c r="Y159" s="4">
        <v>4.953198153631206</v>
      </c>
      <c r="Z159" s="4">
        <v>4.953198153631206</v>
      </c>
      <c r="AC159" s="20">
        <v>0.25409767439206282</v>
      </c>
      <c r="AD159" s="4">
        <v>0.69847918160849709</v>
      </c>
      <c r="AE159" s="4">
        <v>7.5172130556096635</v>
      </c>
      <c r="AF159" s="21">
        <v>7.5172130556096635</v>
      </c>
    </row>
    <row r="160" spans="4:32">
      <c r="D160" s="4">
        <v>1098289.2</v>
      </c>
      <c r="E160" s="4">
        <v>1100530.49</v>
      </c>
      <c r="F160" s="4">
        <v>1185.06</v>
      </c>
      <c r="G160" s="4">
        <v>1098116.3999999999</v>
      </c>
      <c r="H160" s="4">
        <v>1098116.3999999999</v>
      </c>
      <c r="I160" s="4">
        <v>1105294.6000000001</v>
      </c>
      <c r="J160" s="4">
        <v>1108670.92</v>
      </c>
      <c r="K160" s="4">
        <v>972.05</v>
      </c>
      <c r="L160" s="4">
        <v>1105334.3999999999</v>
      </c>
      <c r="M160" s="4">
        <v>1126571.3</v>
      </c>
      <c r="N160" s="4">
        <v>1161996.6000000001</v>
      </c>
      <c r="O160" s="4">
        <v>2541.0500000000002</v>
      </c>
      <c r="P160" s="4">
        <v>1126461.6000000001</v>
      </c>
      <c r="Q160" s="4">
        <v>1172733.8</v>
      </c>
      <c r="R160" s="4">
        <v>1200447.92</v>
      </c>
      <c r="S160" s="4">
        <v>3887.53</v>
      </c>
      <c r="T160" s="4">
        <v>1172570.8999999999</v>
      </c>
      <c r="W160" s="4">
        <v>0</v>
      </c>
      <c r="X160" s="4">
        <v>0.41981865212220038</v>
      </c>
      <c r="Y160" s="4">
        <v>7.4791862052179372</v>
      </c>
      <c r="Z160" s="4">
        <v>7.4791862052179372</v>
      </c>
      <c r="AC160" s="23">
        <v>0.22795081902145706</v>
      </c>
      <c r="AD160" s="24">
        <v>0.55501666863576427</v>
      </c>
      <c r="AE160" s="24">
        <v>9.036473908002586</v>
      </c>
      <c r="AF160" s="25">
        <v>9.036473908002586</v>
      </c>
    </row>
    <row r="161" spans="4:20">
      <c r="D161" s="4">
        <v>2230299.83</v>
      </c>
      <c r="E161" s="4">
        <v>2235966.9700000002</v>
      </c>
      <c r="F161" s="4">
        <v>856.97</v>
      </c>
      <c r="G161" s="4">
        <v>2229970.4</v>
      </c>
      <c r="H161" s="4">
        <v>2229970.4</v>
      </c>
      <c r="I161" s="4">
        <v>2243621.7999999998</v>
      </c>
      <c r="J161" s="4">
        <v>2245878.0099999998</v>
      </c>
      <c r="K161" s="4">
        <v>721.69</v>
      </c>
      <c r="L161" s="4">
        <v>2243292.7999999998</v>
      </c>
      <c r="M161" s="4">
        <v>2340771</v>
      </c>
      <c r="N161" s="4">
        <v>2397956.2200000002</v>
      </c>
      <c r="O161" s="4">
        <v>5126.92</v>
      </c>
      <c r="P161" s="4">
        <v>2340610.6</v>
      </c>
      <c r="Q161" s="4">
        <v>2340771</v>
      </c>
      <c r="R161" s="4">
        <v>2397956.2200000002</v>
      </c>
      <c r="S161" s="4">
        <v>8312.82</v>
      </c>
      <c r="T161" s="4">
        <v>2340610.6</v>
      </c>
    </row>
    <row r="162" spans="4:20">
      <c r="D162" s="4">
        <v>2239781.38</v>
      </c>
      <c r="E162" s="4">
        <v>2244886.98</v>
      </c>
      <c r="F162" s="4">
        <v>868.4</v>
      </c>
      <c r="G162" s="4">
        <v>2239764.5</v>
      </c>
      <c r="H162" s="4">
        <v>2239764.5</v>
      </c>
      <c r="I162" s="4">
        <v>2249184.4</v>
      </c>
      <c r="J162" s="4">
        <v>2252212.54</v>
      </c>
      <c r="K162" s="4">
        <v>1305.1600000000001</v>
      </c>
      <c r="L162" s="4">
        <v>2248922.2999999998</v>
      </c>
      <c r="M162" s="4">
        <v>2407298.7999999998</v>
      </c>
      <c r="N162" s="4">
        <v>2442178.64</v>
      </c>
      <c r="O162" s="4">
        <v>6456.42</v>
      </c>
      <c r="P162" s="4">
        <v>2406960.4</v>
      </c>
      <c r="Q162" s="4">
        <v>2407298.7999999998</v>
      </c>
      <c r="R162" s="4">
        <v>2442178.64</v>
      </c>
      <c r="S162" s="4">
        <v>9953.2999999999993</v>
      </c>
      <c r="T162" s="4">
        <v>2406960.4</v>
      </c>
    </row>
  </sheetData>
  <mergeCells count="8">
    <mergeCell ref="AS36:AT36"/>
    <mergeCell ref="AV36:AW36"/>
    <mergeCell ref="D4:H4"/>
    <mergeCell ref="L4:P4"/>
    <mergeCell ref="T4:X4"/>
    <mergeCell ref="AB4:AF4"/>
    <mergeCell ref="AM36:AN36"/>
    <mergeCell ref="AP36:AQ36"/>
  </mergeCells>
  <phoneticPr fontId="6" type="noConversion"/>
  <hyperlinks>
    <hyperlink ref="AI6" r:id="rId1" xr:uid="{E6A9E4D2-8447-45E1-87DD-D29E22B9B34E}"/>
    <hyperlink ref="AI7:AI79" r:id="rId2" display="\\" xr:uid="{1F3208D3-E9C6-4867-9D79-771311AD7870}"/>
    <hyperlink ref="BD8" r:id="rId3" xr:uid="{5EBCF4AC-FF19-47FE-86DA-D6D3EC5CE6A1}"/>
    <hyperlink ref="BD9" r:id="rId4" xr:uid="{BAD863E6-212F-4FD3-AAB1-644CC6A01962}"/>
    <hyperlink ref="BD10" r:id="rId5" xr:uid="{7ED8809A-D93D-418E-B550-3286E48D5BF8}"/>
    <hyperlink ref="BD14" r:id="rId6" xr:uid="{0EC4B215-7AEA-4ADA-83A0-B0B7FFC0716F}"/>
    <hyperlink ref="BD18" r:id="rId7" xr:uid="{EA813433-22FF-4682-B128-C86A141AE850}"/>
    <hyperlink ref="BD20" r:id="rId8" xr:uid="{C45E64E9-7DD5-4460-A790-AFF3B4ACA7AA}"/>
    <hyperlink ref="BD13" r:id="rId9" xr:uid="{ABA445BF-1F7C-4186-9056-D525A3115156}"/>
    <hyperlink ref="BD15" r:id="rId10" xr:uid="{C7D75411-1703-4DE9-A4A7-A0661C940CD4}"/>
    <hyperlink ref="BD19" r:id="rId11" xr:uid="{21F597DC-DB34-43C6-9B83-D3270CA54BB0}"/>
    <hyperlink ref="BD11" r:id="rId12" xr:uid="{52D57D07-3835-40BE-8DB1-4355E5F7D862}"/>
    <hyperlink ref="BD16" r:id="rId13" xr:uid="{E3B11573-2F20-462B-987D-BA81AED06FCA}"/>
    <hyperlink ref="BD21" r:id="rId14" xr:uid="{489833F9-A39F-41C3-9C73-45C2EDC9A5B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C90F-5A34-4CEA-9583-C4103EFE8E1E}">
  <dimension ref="B1:AZ111"/>
  <sheetViews>
    <sheetView topLeftCell="A43" workbookViewId="0">
      <selection activeCell="S100" sqref="S100"/>
    </sheetView>
  </sheetViews>
  <sheetFormatPr defaultColWidth="9" defaultRowHeight="14"/>
  <cols>
    <col min="1" max="4" width="9" style="4"/>
    <col min="5" max="5" width="12.6328125" style="4" customWidth="1"/>
    <col min="6" max="8" width="9" style="4"/>
    <col min="9" max="9" width="10.54296875" style="4" customWidth="1"/>
    <col min="10" max="12" width="9" style="4"/>
    <col min="13" max="13" width="9.81640625" style="4" customWidth="1"/>
    <col min="14" max="14" width="10.54296875" style="4" customWidth="1"/>
    <col min="15" max="16" width="9" style="4"/>
    <col min="17" max="17" width="9.81640625" style="4" customWidth="1"/>
    <col min="18" max="20" width="9" style="4"/>
    <col min="21" max="21" width="10.54296875" style="4" customWidth="1"/>
    <col min="22" max="25" width="9" style="4"/>
    <col min="26" max="26" width="10.54296875" style="4" customWidth="1"/>
    <col min="27" max="28" width="9" style="4"/>
    <col min="29" max="29" width="9.81640625" style="4" customWidth="1"/>
    <col min="30" max="32" width="9" style="4"/>
    <col min="33" max="33" width="10.54296875" style="4" customWidth="1"/>
    <col min="34" max="37" width="9" style="4"/>
    <col min="38" max="38" width="9.81640625" style="4" customWidth="1"/>
    <col min="39" max="40" width="9" style="4"/>
    <col min="41" max="41" width="10.6328125" style="4" customWidth="1"/>
    <col min="42" max="44" width="9" style="4"/>
    <col min="45" max="45" width="10.54296875" style="4" customWidth="1"/>
    <col min="46" max="47" width="9" style="4"/>
    <col min="48" max="48" width="9.08984375" style="4" customWidth="1"/>
    <col min="49" max="49" width="9" style="4"/>
    <col min="50" max="50" width="10.54296875" style="4" customWidth="1"/>
    <col min="51" max="51" width="9" style="4"/>
    <col min="52" max="52" width="10.54296875" style="4" customWidth="1"/>
    <col min="53" max="16384" width="9" style="4"/>
  </cols>
  <sheetData>
    <row r="1" spans="2:52">
      <c r="B1" s="4" t="s">
        <v>7</v>
      </c>
      <c r="C1" s="4" t="s">
        <v>100</v>
      </c>
      <c r="D1" s="4" t="str">
        <f t="shared" ref="D1:D24" si="0">IF(E1=MIN(E1,Q1,AC1,AO1),"\textbf{","")</f>
        <v>\textbf{</v>
      </c>
      <c r="E1" s="5">
        <f>resultOnlatexABC16Dec24!D6</f>
        <v>5441.25</v>
      </c>
      <c r="F1" s="4" t="str">
        <f>IF(E1=MIN(E1,Q1,AC1,AO1),"}","")</f>
        <v>}</v>
      </c>
      <c r="G1" s="4" t="s">
        <v>100</v>
      </c>
      <c r="H1" s="4" t="str">
        <f>IF(I1=MIN(I1,U1,AG1,AS1),"\textbf{","")</f>
        <v>\textbf{</v>
      </c>
      <c r="I1" s="5">
        <f>resultOnlatexABC16Dec24!F6</f>
        <v>5441.25</v>
      </c>
      <c r="J1" s="4" t="str">
        <f>IF(I1=MIN(I1,U1,AG1,AS1),"}","")</f>
        <v>}</v>
      </c>
      <c r="K1" s="4" t="s">
        <v>100</v>
      </c>
      <c r="L1" s="5">
        <f>resultOnlatexABC16Dec24!H6</f>
        <v>8.76</v>
      </c>
      <c r="M1" s="4" t="s">
        <v>100</v>
      </c>
      <c r="N1" s="5">
        <f>resultOnlatexABC16Dec24!J6</f>
        <v>5443.3</v>
      </c>
      <c r="O1" s="4" t="s">
        <v>100</v>
      </c>
      <c r="P1" s="4" t="str">
        <f t="shared" ref="P1:P24" si="1">IF(Q1=MIN(E1,Q1,AC1,AO1),"\textbf{","")</f>
        <v/>
      </c>
      <c r="Q1" s="5">
        <f>resultOnlatexABC16Dec24!L6</f>
        <v>6181.1</v>
      </c>
      <c r="R1" s="4" t="str">
        <f t="shared" ref="R1:R24" si="2">IF(Q1=MIN(E1,Q1,AC1,AO1),"}","")</f>
        <v/>
      </c>
      <c r="S1" s="4" t="s">
        <v>100</v>
      </c>
      <c r="T1" s="4" t="str">
        <f>IF(U1=MIN(I1,U1,AG1,AS1),"\textbf{","")</f>
        <v/>
      </c>
      <c r="U1" s="5">
        <f>resultOnlatexABC16Dec24!N6</f>
        <v>6181.15</v>
      </c>
      <c r="V1" s="4" t="str">
        <f t="shared" ref="V1" si="3">IF(U1=MIN(I1,U1,AG1,AS1),"}","")</f>
        <v/>
      </c>
      <c r="W1" s="4" t="s">
        <v>100</v>
      </c>
      <c r="X1" s="5">
        <f>resultOnlatexABC16Dec24!P6</f>
        <v>0.14000000000000001</v>
      </c>
      <c r="Y1" s="4" t="s">
        <v>100</v>
      </c>
      <c r="Z1" s="5">
        <f>resultOnlatexABC16Dec24!R6</f>
        <v>6150.9</v>
      </c>
      <c r="AA1" s="4" t="s">
        <v>100</v>
      </c>
      <c r="AB1" s="4" t="str">
        <f>IF(AC1=MIN(E1,Q1,AC1,AO1),"\textbf{","")</f>
        <v/>
      </c>
      <c r="AC1" s="5">
        <f>resultOnlatexABC16Dec24!T6</f>
        <v>5443.2</v>
      </c>
      <c r="AD1" s="4" t="str">
        <f>IF(AC1=MIN(E1,Q1,AC1,AO1),"}","")</f>
        <v/>
      </c>
      <c r="AE1" s="4" t="s">
        <v>100</v>
      </c>
      <c r="AF1" s="4" t="str">
        <f>IF(AG1=MIN(I1,U1,AG1,AS1),"\textbf{","")</f>
        <v/>
      </c>
      <c r="AG1" s="5">
        <f>resultOnlatexABC16Dec24!V6</f>
        <v>5450.73</v>
      </c>
      <c r="AH1" s="4" t="str">
        <f>IF(AG1=MIN(I1,U1,AG1,AS1),"}","")</f>
        <v/>
      </c>
      <c r="AI1" s="4" t="s">
        <v>100</v>
      </c>
      <c r="AJ1" s="5">
        <f>resultOnlatexABC16Dec24!X6</f>
        <v>21.38</v>
      </c>
      <c r="AK1" s="4" t="s">
        <v>100</v>
      </c>
      <c r="AL1" s="5">
        <f>resultOnlatexABC16Dec24!Z6</f>
        <v>5445.3</v>
      </c>
      <c r="AM1" s="4" t="s">
        <v>100</v>
      </c>
      <c r="AN1" s="4" t="str">
        <f>IF(AO1=MIN(E1,Q1,AC1,AO1),"\textbf{","")</f>
        <v/>
      </c>
      <c r="AO1" s="5">
        <f>resultOnlatexABC16Dec24!AB6</f>
        <v>5443.2</v>
      </c>
      <c r="AP1" s="7" t="str">
        <f>IF(AO1=MIN(E1,Q1,AC1,AO1),"}","")</f>
        <v/>
      </c>
      <c r="AQ1" s="7" t="s">
        <v>100</v>
      </c>
      <c r="AR1" s="7" t="str">
        <f>IF(AS1=MIN(I1,U1,AG1,AS1),"\textbf{","")</f>
        <v/>
      </c>
      <c r="AS1" s="5">
        <f>resultOnlatexABC16Dec24!AD6</f>
        <v>5454.89</v>
      </c>
      <c r="AT1" s="7" t="str">
        <f>IF(AS1=MIN(I1,U1,AG1,AS1),"}","")</f>
        <v/>
      </c>
      <c r="AU1" s="7" t="s">
        <v>100</v>
      </c>
      <c r="AV1" s="5">
        <f>resultOnlatexABC16Dec24!AF6</f>
        <v>60.11</v>
      </c>
      <c r="AW1" s="7" t="s">
        <v>100</v>
      </c>
      <c r="AX1" s="5">
        <f>resultOnlatexABC16Dec24!AH6</f>
        <v>5445.3</v>
      </c>
      <c r="AY1" s="6" t="s">
        <v>102</v>
      </c>
      <c r="AZ1" s="8"/>
    </row>
    <row r="2" spans="2:52">
      <c r="B2" s="4" t="s">
        <v>8</v>
      </c>
      <c r="C2" s="4" t="s">
        <v>100</v>
      </c>
      <c r="D2" s="4" t="str">
        <f t="shared" si="0"/>
        <v>\textbf{</v>
      </c>
      <c r="E2" s="5">
        <f>resultOnlatexABC16Dec24!D7</f>
        <v>7533.59</v>
      </c>
      <c r="F2" s="4" t="str">
        <f t="shared" ref="F2:F65" si="4">IF(E2=MIN(E2,Q2,AC2,AO2),"}","")</f>
        <v>}</v>
      </c>
      <c r="G2" s="4" t="s">
        <v>100</v>
      </c>
      <c r="H2" s="4" t="str">
        <f t="shared" ref="H2:H65" si="5">IF(I2=MIN(I2,U2,AG2,AS2),"\textbf{","")</f>
        <v>\textbf{</v>
      </c>
      <c r="I2" s="5">
        <f>resultOnlatexABC16Dec24!F7</f>
        <v>7533.59</v>
      </c>
      <c r="J2" s="4" t="str">
        <f t="shared" ref="J2:J65" si="6">IF(I2=MIN(I2,U2,AG2,AS2),"}","")</f>
        <v>}</v>
      </c>
      <c r="K2" s="4" t="s">
        <v>100</v>
      </c>
      <c r="L2" s="5">
        <f>resultOnlatexABC16Dec24!H7</f>
        <v>2.09</v>
      </c>
      <c r="M2" s="4" t="s">
        <v>100</v>
      </c>
      <c r="N2" s="5">
        <f>resultOnlatexABC16Dec24!J7</f>
        <v>7528.4</v>
      </c>
      <c r="O2" s="4" t="s">
        <v>100</v>
      </c>
      <c r="P2" s="4" t="str">
        <f t="shared" si="1"/>
        <v/>
      </c>
      <c r="Q2" s="5">
        <f>resultOnlatexABC16Dec24!L7</f>
        <v>7744.4</v>
      </c>
      <c r="R2" s="4" t="str">
        <f t="shared" si="2"/>
        <v/>
      </c>
      <c r="S2" s="4" t="s">
        <v>100</v>
      </c>
      <c r="T2" s="4" t="str">
        <f t="shared" ref="T2:T65" si="7">IF(U2=MIN(I2,U2,AG2,AS2),"\textbf{","")</f>
        <v/>
      </c>
      <c r="U2" s="5">
        <f>resultOnlatexABC16Dec24!N7</f>
        <v>7744.35</v>
      </c>
      <c r="V2" s="4" t="str">
        <f t="shared" ref="V2:V24" si="8">IF(U2=MIN(I2,U2,AG2,AS2),"}","")</f>
        <v/>
      </c>
      <c r="W2" s="4" t="s">
        <v>100</v>
      </c>
      <c r="X2" s="5">
        <f>resultOnlatexABC16Dec24!P7</f>
        <v>6.08</v>
      </c>
      <c r="Y2" s="4" t="s">
        <v>100</v>
      </c>
      <c r="Z2" s="5">
        <f>resultOnlatexABC16Dec24!R7</f>
        <v>7725.7</v>
      </c>
      <c r="AA2" s="4" t="s">
        <v>100</v>
      </c>
      <c r="AB2" s="4" t="str">
        <f t="shared" ref="AB2:AB65" si="9">IF(AC2=MIN(E2,Q2,AC2,AO2),"\textbf{","")</f>
        <v/>
      </c>
      <c r="AC2" s="5">
        <f>resultOnlatexABC16Dec24!T7</f>
        <v>7533.6</v>
      </c>
      <c r="AD2" s="4" t="str">
        <f t="shared" ref="AD2:AD24" si="10">IF(AC2=MIN(E2,Q2,AC2,AO2),"}","")</f>
        <v/>
      </c>
      <c r="AE2" s="4" t="s">
        <v>100</v>
      </c>
      <c r="AF2" s="4" t="str">
        <f t="shared" ref="AF2:AF24" si="11">IF(AG2=MIN(I2,U2,AG2,AS2),"\textbf{","")</f>
        <v/>
      </c>
      <c r="AG2" s="5">
        <f>resultOnlatexABC16Dec24!V7</f>
        <v>7533.63</v>
      </c>
      <c r="AH2" s="4" t="str">
        <f t="shared" ref="AH2:AH24" si="12">IF(AG2=MIN(I2,U2,AG2,AS2),"}","")</f>
        <v/>
      </c>
      <c r="AI2" s="4" t="s">
        <v>100</v>
      </c>
      <c r="AJ2" s="5">
        <f>resultOnlatexABC16Dec24!X7</f>
        <v>6.21</v>
      </c>
      <c r="AK2" s="4" t="s">
        <v>100</v>
      </c>
      <c r="AL2" s="5">
        <f>resultOnlatexABC16Dec24!Z7</f>
        <v>7528.4</v>
      </c>
      <c r="AM2" s="4" t="s">
        <v>100</v>
      </c>
      <c r="AN2" s="4" t="str">
        <f t="shared" ref="AN2:AN65" si="13">IF(AO2=MIN(E2,Q2,AC2,AO2),"\textbf{","")</f>
        <v/>
      </c>
      <c r="AO2" s="5">
        <f>resultOnlatexABC16Dec24!AB7</f>
        <v>7533.6</v>
      </c>
      <c r="AP2" s="7" t="str">
        <f t="shared" ref="AP2:AP24" si="14">IF(AO2=MIN(E2,Q2,AC2,AO2),"}","")</f>
        <v/>
      </c>
      <c r="AQ2" s="7" t="s">
        <v>100</v>
      </c>
      <c r="AR2" s="7" t="str">
        <f t="shared" ref="AR2:AR24" si="15">IF(AS2=MIN(I2,U2,AG2,AS2),"\textbf{","")</f>
        <v/>
      </c>
      <c r="AS2" s="5">
        <f>resultOnlatexABC16Dec24!AD7</f>
        <v>7533.63</v>
      </c>
      <c r="AT2" s="7" t="str">
        <f t="shared" ref="AT2:AT24" si="16">IF(AS2=MIN(I2,U2,AG2,AS2),"}","")</f>
        <v/>
      </c>
      <c r="AU2" s="7" t="s">
        <v>100</v>
      </c>
      <c r="AV2" s="5">
        <f>resultOnlatexABC16Dec24!AF7</f>
        <v>11.06</v>
      </c>
      <c r="AW2" s="7" t="s">
        <v>100</v>
      </c>
      <c r="AX2" s="5">
        <f>resultOnlatexABC16Dec24!AH7</f>
        <v>7528.4</v>
      </c>
      <c r="AY2" s="6" t="s">
        <v>102</v>
      </c>
      <c r="AZ2" s="8"/>
    </row>
    <row r="3" spans="2:52">
      <c r="B3" s="4" t="s">
        <v>9</v>
      </c>
      <c r="C3" s="4" t="s">
        <v>100</v>
      </c>
      <c r="D3" s="4" t="str">
        <f t="shared" si="0"/>
        <v>\textbf{</v>
      </c>
      <c r="E3" s="5">
        <f>resultOnlatexABC16Dec24!D8</f>
        <v>10019</v>
      </c>
      <c r="F3" s="4" t="str">
        <f t="shared" si="4"/>
        <v>}</v>
      </c>
      <c r="G3" s="4" t="s">
        <v>100</v>
      </c>
      <c r="H3" s="4" t="str">
        <f t="shared" si="5"/>
        <v>\textbf{</v>
      </c>
      <c r="I3" s="5">
        <f>resultOnlatexABC16Dec24!F8</f>
        <v>10019</v>
      </c>
      <c r="J3" s="4" t="str">
        <f t="shared" si="6"/>
        <v>}</v>
      </c>
      <c r="K3" s="4" t="s">
        <v>100</v>
      </c>
      <c r="L3" s="5">
        <f>resultOnlatexABC16Dec24!H8</f>
        <v>14.54</v>
      </c>
      <c r="M3" s="4" t="s">
        <v>100</v>
      </c>
      <c r="N3" s="5">
        <f>resultOnlatexABC16Dec24!J8</f>
        <v>10019</v>
      </c>
      <c r="O3" s="4" t="s">
        <v>100</v>
      </c>
      <c r="P3" s="4" t="str">
        <f t="shared" si="1"/>
        <v/>
      </c>
      <c r="Q3" s="5">
        <f>resultOnlatexABC16Dec24!L8</f>
        <v>10027.9</v>
      </c>
      <c r="R3" s="4" t="str">
        <f t="shared" si="2"/>
        <v/>
      </c>
      <c r="S3" s="4" t="s">
        <v>100</v>
      </c>
      <c r="T3" s="4" t="str">
        <f t="shared" si="7"/>
        <v/>
      </c>
      <c r="U3" s="5">
        <f>resultOnlatexABC16Dec24!N8</f>
        <v>10027.93</v>
      </c>
      <c r="V3" s="4" t="str">
        <f t="shared" si="8"/>
        <v/>
      </c>
      <c r="W3" s="4" t="s">
        <v>100</v>
      </c>
      <c r="X3" s="5">
        <f>resultOnlatexABC16Dec24!P8</f>
        <v>103.25</v>
      </c>
      <c r="Y3" s="4" t="s">
        <v>100</v>
      </c>
      <c r="Z3" s="5">
        <f>resultOnlatexABC16Dec24!R8</f>
        <v>10027.9</v>
      </c>
      <c r="AA3" s="4" t="s">
        <v>100</v>
      </c>
      <c r="AB3" s="4" t="str">
        <f t="shared" si="9"/>
        <v/>
      </c>
      <c r="AC3" s="5">
        <f>resultOnlatexABC16Dec24!T8</f>
        <v>10023.1</v>
      </c>
      <c r="AD3" s="4" t="str">
        <f t="shared" si="10"/>
        <v/>
      </c>
      <c r="AE3" s="4" t="s">
        <v>100</v>
      </c>
      <c r="AF3" s="4" t="str">
        <f t="shared" si="11"/>
        <v/>
      </c>
      <c r="AG3" s="5">
        <f>resultOnlatexABC16Dec24!V8</f>
        <v>10023.540000000001</v>
      </c>
      <c r="AH3" s="4" t="str">
        <f t="shared" si="12"/>
        <v/>
      </c>
      <c r="AI3" s="4" t="s">
        <v>100</v>
      </c>
      <c r="AJ3" s="5">
        <f>resultOnlatexABC16Dec24!X8</f>
        <v>4.37</v>
      </c>
      <c r="AK3" s="4" t="s">
        <v>100</v>
      </c>
      <c r="AL3" s="5">
        <f>resultOnlatexABC16Dec24!Z8</f>
        <v>10020.9</v>
      </c>
      <c r="AM3" s="4" t="s">
        <v>100</v>
      </c>
      <c r="AN3" s="4" t="str">
        <f t="shared" si="13"/>
        <v/>
      </c>
      <c r="AO3" s="5">
        <f>resultOnlatexABC16Dec24!AB8</f>
        <v>10023.1</v>
      </c>
      <c r="AP3" s="7" t="str">
        <f t="shared" si="14"/>
        <v/>
      </c>
      <c r="AQ3" s="7" t="s">
        <v>100</v>
      </c>
      <c r="AR3" s="7" t="str">
        <f t="shared" si="15"/>
        <v/>
      </c>
      <c r="AS3" s="5">
        <f>resultOnlatexABC16Dec24!AD8</f>
        <v>10024.4</v>
      </c>
      <c r="AT3" s="7" t="str">
        <f t="shared" si="16"/>
        <v/>
      </c>
      <c r="AU3" s="7" t="s">
        <v>100</v>
      </c>
      <c r="AV3" s="5">
        <f>resultOnlatexABC16Dec24!AF8</f>
        <v>11.01</v>
      </c>
      <c r="AW3" s="7" t="s">
        <v>100</v>
      </c>
      <c r="AX3" s="5">
        <f>resultOnlatexABC16Dec24!AH8</f>
        <v>10020.9</v>
      </c>
      <c r="AY3" s="6" t="s">
        <v>102</v>
      </c>
      <c r="AZ3" s="8"/>
    </row>
    <row r="4" spans="2:52">
      <c r="B4" s="4" t="s">
        <v>10</v>
      </c>
      <c r="C4" s="4" t="s">
        <v>100</v>
      </c>
      <c r="D4" s="4" t="str">
        <f t="shared" si="0"/>
        <v>\textbf{</v>
      </c>
      <c r="E4" s="5">
        <f>resultOnlatexABC16Dec24!D9</f>
        <v>13226.2</v>
      </c>
      <c r="F4" s="4" t="str">
        <f t="shared" si="4"/>
        <v>}</v>
      </c>
      <c r="G4" s="4" t="s">
        <v>100</v>
      </c>
      <c r="H4" s="4" t="str">
        <f t="shared" si="5"/>
        <v>\textbf{</v>
      </c>
      <c r="I4" s="5">
        <f>resultOnlatexABC16Dec24!F9</f>
        <v>13226.2</v>
      </c>
      <c r="J4" s="4" t="str">
        <f t="shared" si="6"/>
        <v>}</v>
      </c>
      <c r="K4" s="4" t="s">
        <v>100</v>
      </c>
      <c r="L4" s="5">
        <f>resultOnlatexABC16Dec24!H9</f>
        <v>42.53</v>
      </c>
      <c r="M4" s="4" t="s">
        <v>100</v>
      </c>
      <c r="N4" s="5">
        <f>resultOnlatexABC16Dec24!J9</f>
        <v>13227.1</v>
      </c>
      <c r="O4" s="4" t="s">
        <v>100</v>
      </c>
      <c r="P4" s="4" t="str">
        <f t="shared" si="1"/>
        <v/>
      </c>
      <c r="Q4" s="5">
        <f>resultOnlatexABC16Dec24!L9</f>
        <v>13751.4</v>
      </c>
      <c r="R4" s="4" t="str">
        <f t="shared" si="2"/>
        <v/>
      </c>
      <c r="S4" s="4" t="s">
        <v>100</v>
      </c>
      <c r="T4" s="4" t="str">
        <f t="shared" si="7"/>
        <v/>
      </c>
      <c r="U4" s="5">
        <f>resultOnlatexABC16Dec24!N9</f>
        <v>13751.43</v>
      </c>
      <c r="V4" s="4" t="str">
        <f t="shared" si="8"/>
        <v/>
      </c>
      <c r="W4" s="4" t="s">
        <v>100</v>
      </c>
      <c r="X4" s="5">
        <f>resultOnlatexABC16Dec24!P9</f>
        <v>14.3</v>
      </c>
      <c r="Y4" s="4" t="s">
        <v>100</v>
      </c>
      <c r="Z4" s="5">
        <f>resultOnlatexABC16Dec24!R9</f>
        <v>13762</v>
      </c>
      <c r="AA4" s="4" t="s">
        <v>100</v>
      </c>
      <c r="AB4" s="4" t="str">
        <f t="shared" si="9"/>
        <v/>
      </c>
      <c r="AC4" s="5">
        <f>resultOnlatexABC16Dec24!T9</f>
        <v>13238.3</v>
      </c>
      <c r="AD4" s="4" t="str">
        <f t="shared" si="10"/>
        <v/>
      </c>
      <c r="AE4" s="4" t="s">
        <v>100</v>
      </c>
      <c r="AF4" s="4" t="str">
        <f t="shared" si="11"/>
        <v/>
      </c>
      <c r="AG4" s="5">
        <f>resultOnlatexABC16Dec24!V9</f>
        <v>13238.3</v>
      </c>
      <c r="AH4" s="4" t="str">
        <f t="shared" si="12"/>
        <v/>
      </c>
      <c r="AI4" s="4" t="s">
        <v>100</v>
      </c>
      <c r="AJ4" s="5">
        <f>resultOnlatexABC16Dec24!X9</f>
        <v>37.409999999999997</v>
      </c>
      <c r="AK4" s="4" t="s">
        <v>100</v>
      </c>
      <c r="AL4" s="5">
        <f>resultOnlatexABC16Dec24!Z9</f>
        <v>13238.1</v>
      </c>
      <c r="AM4" s="4" t="s">
        <v>100</v>
      </c>
      <c r="AN4" s="4" t="str">
        <f t="shared" si="13"/>
        <v/>
      </c>
      <c r="AO4" s="5">
        <f>resultOnlatexABC16Dec24!AB9</f>
        <v>13238.3</v>
      </c>
      <c r="AP4" s="7" t="str">
        <f t="shared" si="14"/>
        <v/>
      </c>
      <c r="AQ4" s="7" t="s">
        <v>100</v>
      </c>
      <c r="AR4" s="7" t="str">
        <f t="shared" si="15"/>
        <v/>
      </c>
      <c r="AS4" s="5">
        <f>resultOnlatexABC16Dec24!AD9</f>
        <v>13238.3</v>
      </c>
      <c r="AT4" s="7" t="str">
        <f t="shared" si="16"/>
        <v/>
      </c>
      <c r="AU4" s="7" t="s">
        <v>100</v>
      </c>
      <c r="AV4" s="5">
        <f>resultOnlatexABC16Dec24!AF9</f>
        <v>130.21</v>
      </c>
      <c r="AW4" s="7" t="s">
        <v>100</v>
      </c>
      <c r="AX4" s="5">
        <f>resultOnlatexABC16Dec24!AH9</f>
        <v>13238.1</v>
      </c>
      <c r="AY4" s="6" t="s">
        <v>102</v>
      </c>
      <c r="AZ4" s="8"/>
    </row>
    <row r="5" spans="2:52">
      <c r="B5" s="4" t="s">
        <v>11</v>
      </c>
      <c r="C5" s="4" t="s">
        <v>100</v>
      </c>
      <c r="D5" s="4" t="str">
        <f t="shared" si="0"/>
        <v>\textbf{</v>
      </c>
      <c r="E5" s="5">
        <f>resultOnlatexABC16Dec24!D10</f>
        <v>17695</v>
      </c>
      <c r="F5" s="4" t="str">
        <f t="shared" si="4"/>
        <v>}</v>
      </c>
      <c r="G5" s="4" t="s">
        <v>100</v>
      </c>
      <c r="H5" s="4" t="str">
        <f t="shared" si="5"/>
        <v>\textbf{</v>
      </c>
      <c r="I5" s="5">
        <f>resultOnlatexABC16Dec24!F10</f>
        <v>17695</v>
      </c>
      <c r="J5" s="4" t="str">
        <f t="shared" si="6"/>
        <v>}</v>
      </c>
      <c r="K5" s="4" t="s">
        <v>100</v>
      </c>
      <c r="L5" s="5">
        <f>resultOnlatexABC16Dec24!H10</f>
        <v>128.78</v>
      </c>
      <c r="M5" s="4" t="s">
        <v>100</v>
      </c>
      <c r="N5" s="5">
        <f>resultOnlatexABC16Dec24!J10</f>
        <v>17695</v>
      </c>
      <c r="O5" s="4" t="s">
        <v>100</v>
      </c>
      <c r="P5" s="4" t="str">
        <f t="shared" si="1"/>
        <v/>
      </c>
      <c r="Q5" s="5">
        <f>resultOnlatexABC16Dec24!L10</f>
        <v>18191.5</v>
      </c>
      <c r="R5" s="4" t="str">
        <f t="shared" si="2"/>
        <v/>
      </c>
      <c r="S5" s="4" t="s">
        <v>100</v>
      </c>
      <c r="T5" s="4" t="str">
        <f t="shared" si="7"/>
        <v/>
      </c>
      <c r="U5" s="5">
        <f>resultOnlatexABC16Dec24!N10</f>
        <v>18219.96</v>
      </c>
      <c r="V5" s="4" t="str">
        <f t="shared" si="8"/>
        <v/>
      </c>
      <c r="W5" s="4" t="s">
        <v>100</v>
      </c>
      <c r="X5" s="5">
        <f>resultOnlatexABC16Dec24!P10</f>
        <v>178.79</v>
      </c>
      <c r="Y5" s="4" t="s">
        <v>100</v>
      </c>
      <c r="Z5" s="5">
        <f>resultOnlatexABC16Dec24!R10</f>
        <v>18191.400000000001</v>
      </c>
      <c r="AA5" s="4" t="s">
        <v>100</v>
      </c>
      <c r="AB5" s="4" t="str">
        <f t="shared" si="9"/>
        <v>\textbf{</v>
      </c>
      <c r="AC5" s="5">
        <f>resultOnlatexABC16Dec24!T10</f>
        <v>17695</v>
      </c>
      <c r="AD5" s="4" t="str">
        <f t="shared" si="10"/>
        <v>}</v>
      </c>
      <c r="AE5" s="4" t="s">
        <v>100</v>
      </c>
      <c r="AF5" s="4" t="str">
        <f t="shared" si="11"/>
        <v>\textbf{</v>
      </c>
      <c r="AG5" s="5">
        <f>resultOnlatexABC16Dec24!V10</f>
        <v>17695</v>
      </c>
      <c r="AH5" s="4" t="str">
        <f t="shared" si="12"/>
        <v>}</v>
      </c>
      <c r="AI5" s="4" t="s">
        <v>100</v>
      </c>
      <c r="AJ5" s="5">
        <f>resultOnlatexABC16Dec24!X10</f>
        <v>88.32</v>
      </c>
      <c r="AK5" s="4" t="s">
        <v>100</v>
      </c>
      <c r="AL5" s="5">
        <f>resultOnlatexABC16Dec24!Z10</f>
        <v>17695</v>
      </c>
      <c r="AM5" s="4" t="s">
        <v>100</v>
      </c>
      <c r="AN5" s="4" t="str">
        <f t="shared" si="13"/>
        <v>\textbf{</v>
      </c>
      <c r="AO5" s="5">
        <f>resultOnlatexABC16Dec24!AB10</f>
        <v>17695</v>
      </c>
      <c r="AP5" s="7" t="str">
        <f t="shared" si="14"/>
        <v>}</v>
      </c>
      <c r="AQ5" s="7" t="s">
        <v>100</v>
      </c>
      <c r="AR5" s="7" t="str">
        <f t="shared" si="15"/>
        <v>\textbf{</v>
      </c>
      <c r="AS5" s="5">
        <f>resultOnlatexABC16Dec24!AD10</f>
        <v>17695</v>
      </c>
      <c r="AT5" s="7" t="str">
        <f t="shared" si="16"/>
        <v>}</v>
      </c>
      <c r="AU5" s="7" t="s">
        <v>100</v>
      </c>
      <c r="AV5" s="5">
        <f>resultOnlatexABC16Dec24!AF10</f>
        <v>296.08</v>
      </c>
      <c r="AW5" s="7" t="s">
        <v>100</v>
      </c>
      <c r="AX5" s="5">
        <f>resultOnlatexABC16Dec24!AH10</f>
        <v>17695</v>
      </c>
      <c r="AY5" s="6" t="s">
        <v>102</v>
      </c>
      <c r="AZ5" s="8"/>
    </row>
    <row r="6" spans="2:52">
      <c r="B6" s="4" t="s">
        <v>12</v>
      </c>
      <c r="C6" s="4" t="s">
        <v>100</v>
      </c>
      <c r="D6" s="4" t="str">
        <f t="shared" si="0"/>
        <v>\textbf{</v>
      </c>
      <c r="E6" s="5">
        <f>resultOnlatexABC16Dec24!D11</f>
        <v>17805.75</v>
      </c>
      <c r="F6" s="4" t="str">
        <f t="shared" si="4"/>
        <v>}</v>
      </c>
      <c r="G6" s="4" t="s">
        <v>100</v>
      </c>
      <c r="H6" s="4" t="str">
        <f t="shared" si="5"/>
        <v>\textbf{</v>
      </c>
      <c r="I6" s="5">
        <f>resultOnlatexABC16Dec24!F11</f>
        <v>17805.75</v>
      </c>
      <c r="J6" s="4" t="str">
        <f t="shared" si="6"/>
        <v>}</v>
      </c>
      <c r="K6" s="4" t="s">
        <v>100</v>
      </c>
      <c r="L6" s="5">
        <f>resultOnlatexABC16Dec24!H11</f>
        <v>176.61</v>
      </c>
      <c r="M6" s="4" t="s">
        <v>100</v>
      </c>
      <c r="N6" s="5">
        <f>resultOnlatexABC16Dec24!J11</f>
        <v>17794.8</v>
      </c>
      <c r="O6" s="4" t="s">
        <v>100</v>
      </c>
      <c r="P6" s="4" t="str">
        <f t="shared" si="1"/>
        <v/>
      </c>
      <c r="Q6" s="5">
        <f>resultOnlatexABC16Dec24!L11</f>
        <v>18087.5</v>
      </c>
      <c r="R6" s="4" t="str">
        <f t="shared" si="2"/>
        <v/>
      </c>
      <c r="S6" s="4" t="s">
        <v>100</v>
      </c>
      <c r="T6" s="4" t="str">
        <f t="shared" si="7"/>
        <v/>
      </c>
      <c r="U6" s="5">
        <f>resultOnlatexABC16Dec24!N11</f>
        <v>18092.650000000001</v>
      </c>
      <c r="V6" s="4" t="str">
        <f t="shared" si="8"/>
        <v/>
      </c>
      <c r="W6" s="4" t="s">
        <v>100</v>
      </c>
      <c r="X6" s="5">
        <f>resultOnlatexABC16Dec24!P11</f>
        <v>614.66</v>
      </c>
      <c r="Y6" s="4" t="s">
        <v>100</v>
      </c>
      <c r="Z6" s="5">
        <f>resultOnlatexABC16Dec24!R11</f>
        <v>18075.3</v>
      </c>
      <c r="AA6" s="4" t="s">
        <v>100</v>
      </c>
      <c r="AB6" s="4" t="str">
        <f t="shared" si="9"/>
        <v/>
      </c>
      <c r="AC6" s="5">
        <f>resultOnlatexABC16Dec24!T11</f>
        <v>17805.8</v>
      </c>
      <c r="AD6" s="4" t="str">
        <f t="shared" si="10"/>
        <v/>
      </c>
      <c r="AE6" s="4" t="s">
        <v>100</v>
      </c>
      <c r="AF6" s="4" t="str">
        <f t="shared" si="11"/>
        <v/>
      </c>
      <c r="AG6" s="5">
        <f>resultOnlatexABC16Dec24!V11</f>
        <v>17805.810000000001</v>
      </c>
      <c r="AH6" s="4" t="str">
        <f t="shared" si="12"/>
        <v/>
      </c>
      <c r="AI6" s="4" t="s">
        <v>100</v>
      </c>
      <c r="AJ6" s="5">
        <f>resultOnlatexABC16Dec24!X11</f>
        <v>506.49</v>
      </c>
      <c r="AK6" s="4" t="s">
        <v>100</v>
      </c>
      <c r="AL6" s="5">
        <f>resultOnlatexABC16Dec24!Z11</f>
        <v>17794.8</v>
      </c>
      <c r="AM6" s="4" t="s">
        <v>100</v>
      </c>
      <c r="AN6" s="4" t="str">
        <f t="shared" si="13"/>
        <v/>
      </c>
      <c r="AO6" s="5">
        <f>resultOnlatexABC16Dec24!AB11</f>
        <v>17805.8</v>
      </c>
      <c r="AP6" s="7" t="str">
        <f t="shared" si="14"/>
        <v/>
      </c>
      <c r="AQ6" s="7" t="s">
        <v>100</v>
      </c>
      <c r="AR6" s="7" t="str">
        <f t="shared" si="15"/>
        <v/>
      </c>
      <c r="AS6" s="5">
        <f>resultOnlatexABC16Dec24!AD11</f>
        <v>17806.060000000001</v>
      </c>
      <c r="AT6" s="7" t="str">
        <f t="shared" si="16"/>
        <v/>
      </c>
      <c r="AU6" s="7" t="s">
        <v>100</v>
      </c>
      <c r="AV6" s="5">
        <f>resultOnlatexABC16Dec24!AF11</f>
        <v>519.94000000000005</v>
      </c>
      <c r="AW6" s="7" t="s">
        <v>100</v>
      </c>
      <c r="AX6" s="5">
        <f>resultOnlatexABC16Dec24!AH11</f>
        <v>17794.8</v>
      </c>
      <c r="AY6" s="6" t="s">
        <v>102</v>
      </c>
      <c r="AZ6" s="8"/>
    </row>
    <row r="7" spans="2:52">
      <c r="B7" s="4" t="s">
        <v>13</v>
      </c>
      <c r="C7" s="4" t="s">
        <v>100</v>
      </c>
      <c r="D7" s="4" t="str">
        <f t="shared" si="0"/>
        <v>\textbf{</v>
      </c>
      <c r="E7" s="5">
        <f>resultOnlatexABC16Dec24!D12</f>
        <v>70463.509999999995</v>
      </c>
      <c r="F7" s="4" t="str">
        <f t="shared" si="4"/>
        <v>}</v>
      </c>
      <c r="G7" s="4" t="s">
        <v>100</v>
      </c>
      <c r="H7" s="4" t="str">
        <f t="shared" si="5"/>
        <v>\textbf{</v>
      </c>
      <c r="I7" s="5">
        <f>resultOnlatexABC16Dec24!F12</f>
        <v>70464.31</v>
      </c>
      <c r="J7" s="4" t="str">
        <f t="shared" si="6"/>
        <v>}</v>
      </c>
      <c r="K7" s="4" t="s">
        <v>100</v>
      </c>
      <c r="L7" s="5">
        <f>resultOnlatexABC16Dec24!H12</f>
        <v>968.3</v>
      </c>
      <c r="M7" s="4" t="s">
        <v>100</v>
      </c>
      <c r="N7" s="5">
        <f>resultOnlatexABC16Dec24!J12</f>
        <v>70465.899999999994</v>
      </c>
      <c r="O7" s="4" t="s">
        <v>100</v>
      </c>
      <c r="P7" s="4" t="str">
        <f t="shared" si="1"/>
        <v/>
      </c>
      <c r="Q7" s="5">
        <f>resultOnlatexABC16Dec24!L12</f>
        <v>70666.8</v>
      </c>
      <c r="R7" s="4" t="str">
        <f t="shared" si="2"/>
        <v/>
      </c>
      <c r="S7" s="4" t="s">
        <v>100</v>
      </c>
      <c r="T7" s="4" t="str">
        <f t="shared" si="7"/>
        <v/>
      </c>
      <c r="U7" s="5">
        <f>resultOnlatexABC16Dec24!N12</f>
        <v>70682.86</v>
      </c>
      <c r="V7" s="4" t="str">
        <f t="shared" si="8"/>
        <v/>
      </c>
      <c r="W7" s="4" t="s">
        <v>100</v>
      </c>
      <c r="X7" s="5">
        <f>resultOnlatexABC16Dec24!P12</f>
        <v>713.61</v>
      </c>
      <c r="Y7" s="4" t="s">
        <v>100</v>
      </c>
      <c r="Z7" s="5">
        <f>resultOnlatexABC16Dec24!R12</f>
        <v>70662.399999999994</v>
      </c>
      <c r="AA7" s="4" t="s">
        <v>100</v>
      </c>
      <c r="AB7" s="4" t="str">
        <f t="shared" si="9"/>
        <v/>
      </c>
      <c r="AC7" s="5">
        <f>resultOnlatexABC16Dec24!T12</f>
        <v>70469.8</v>
      </c>
      <c r="AD7" s="4" t="str">
        <f t="shared" si="10"/>
        <v/>
      </c>
      <c r="AE7" s="4" t="s">
        <v>100</v>
      </c>
      <c r="AF7" s="4" t="str">
        <f t="shared" si="11"/>
        <v/>
      </c>
      <c r="AG7" s="5">
        <f>resultOnlatexABC16Dec24!V12</f>
        <v>70472.259999999995</v>
      </c>
      <c r="AH7" s="4" t="str">
        <f t="shared" si="12"/>
        <v/>
      </c>
      <c r="AI7" s="4" t="s">
        <v>100</v>
      </c>
      <c r="AJ7" s="5">
        <f>resultOnlatexABC16Dec24!X12</f>
        <v>464.07</v>
      </c>
      <c r="AK7" s="4" t="s">
        <v>100</v>
      </c>
      <c r="AL7" s="5">
        <f>resultOnlatexABC16Dec24!Z12</f>
        <v>70471.3</v>
      </c>
      <c r="AM7" s="4" t="s">
        <v>100</v>
      </c>
      <c r="AN7" s="4" t="str">
        <f t="shared" si="13"/>
        <v/>
      </c>
      <c r="AO7" s="5">
        <f>resultOnlatexABC16Dec24!AB12</f>
        <v>70469.8</v>
      </c>
      <c r="AP7" s="7" t="str">
        <f t="shared" si="14"/>
        <v/>
      </c>
      <c r="AQ7" s="7" t="s">
        <v>100</v>
      </c>
      <c r="AR7" s="7" t="str">
        <f t="shared" si="15"/>
        <v/>
      </c>
      <c r="AS7" s="5">
        <f>resultOnlatexABC16Dec24!AD12</f>
        <v>70472.320000000007</v>
      </c>
      <c r="AT7" s="7" t="str">
        <f t="shared" si="16"/>
        <v/>
      </c>
      <c r="AU7" s="7" t="s">
        <v>100</v>
      </c>
      <c r="AV7" s="5">
        <f>resultOnlatexABC16Dec24!AF12</f>
        <v>752.57</v>
      </c>
      <c r="AW7" s="7" t="s">
        <v>100</v>
      </c>
      <c r="AX7" s="5">
        <f>resultOnlatexABC16Dec24!AH12</f>
        <v>70471.3</v>
      </c>
      <c r="AY7" s="6" t="s">
        <v>102</v>
      </c>
      <c r="AZ7" s="8"/>
    </row>
    <row r="8" spans="2:52">
      <c r="B8" s="4" t="s">
        <v>14</v>
      </c>
      <c r="C8" s="4" t="s">
        <v>100</v>
      </c>
      <c r="D8" s="4" t="str">
        <f t="shared" si="0"/>
        <v>\textbf{</v>
      </c>
      <c r="E8" s="5">
        <f>resultOnlatexABC16Dec24!D13</f>
        <v>35221.33</v>
      </c>
      <c r="F8" s="4" t="str">
        <f t="shared" si="4"/>
        <v>}</v>
      </c>
      <c r="G8" s="4" t="s">
        <v>100</v>
      </c>
      <c r="H8" s="4" t="str">
        <f t="shared" si="5"/>
        <v>\textbf{</v>
      </c>
      <c r="I8" s="5">
        <f>resultOnlatexABC16Dec24!F13</f>
        <v>35222.379999999997</v>
      </c>
      <c r="J8" s="4" t="str">
        <f t="shared" si="6"/>
        <v>}</v>
      </c>
      <c r="K8" s="4" t="s">
        <v>100</v>
      </c>
      <c r="L8" s="5">
        <f>resultOnlatexABC16Dec24!H13</f>
        <v>1192.27</v>
      </c>
      <c r="M8" s="4" t="s">
        <v>100</v>
      </c>
      <c r="N8" s="5">
        <f>resultOnlatexABC16Dec24!J13</f>
        <v>35227.199999999997</v>
      </c>
      <c r="O8" s="4" t="s">
        <v>100</v>
      </c>
      <c r="P8" s="4" t="str">
        <f t="shared" si="1"/>
        <v/>
      </c>
      <c r="Q8" s="5">
        <f>resultOnlatexABC16Dec24!L13</f>
        <v>35920.199999999997</v>
      </c>
      <c r="R8" s="4" t="str">
        <f t="shared" si="2"/>
        <v/>
      </c>
      <c r="S8" s="4" t="s">
        <v>100</v>
      </c>
      <c r="T8" s="4" t="str">
        <f t="shared" si="7"/>
        <v/>
      </c>
      <c r="U8" s="5">
        <f>resultOnlatexABC16Dec24!N13</f>
        <v>36061.839999999997</v>
      </c>
      <c r="V8" s="4" t="str">
        <f t="shared" si="8"/>
        <v/>
      </c>
      <c r="W8" s="4" t="s">
        <v>100</v>
      </c>
      <c r="X8" s="5">
        <f>resultOnlatexABC16Dec24!P13</f>
        <v>894.81</v>
      </c>
      <c r="Y8" s="4" t="s">
        <v>100</v>
      </c>
      <c r="Z8" s="5">
        <f>resultOnlatexABC16Dec24!R13</f>
        <v>35925.5</v>
      </c>
      <c r="AA8" s="4" t="s">
        <v>100</v>
      </c>
      <c r="AB8" s="4" t="str">
        <f t="shared" si="9"/>
        <v/>
      </c>
      <c r="AC8" s="5">
        <f>resultOnlatexABC16Dec24!T13</f>
        <v>35223.1</v>
      </c>
      <c r="AD8" s="4" t="str">
        <f t="shared" si="10"/>
        <v/>
      </c>
      <c r="AE8" s="4" t="s">
        <v>100</v>
      </c>
      <c r="AF8" s="4" t="str">
        <f t="shared" si="11"/>
        <v/>
      </c>
      <c r="AG8" s="5">
        <f>resultOnlatexABC16Dec24!V13</f>
        <v>35227.199999999997</v>
      </c>
      <c r="AH8" s="4" t="str">
        <f t="shared" si="12"/>
        <v/>
      </c>
      <c r="AI8" s="4" t="s">
        <v>100</v>
      </c>
      <c r="AJ8" s="5">
        <f>resultOnlatexABC16Dec24!X13</f>
        <v>927.08</v>
      </c>
      <c r="AK8" s="4" t="s">
        <v>100</v>
      </c>
      <c r="AL8" s="5">
        <f>resultOnlatexABC16Dec24!Z13</f>
        <v>35231.300000000003</v>
      </c>
      <c r="AM8" s="4" t="s">
        <v>100</v>
      </c>
      <c r="AN8" s="4" t="str">
        <f t="shared" si="13"/>
        <v/>
      </c>
      <c r="AO8" s="5">
        <f>resultOnlatexABC16Dec24!AB13</f>
        <v>35224.800000000003</v>
      </c>
      <c r="AP8" s="7" t="str">
        <f t="shared" si="14"/>
        <v/>
      </c>
      <c r="AQ8" s="7" t="s">
        <v>100</v>
      </c>
      <c r="AR8" s="7" t="str">
        <f t="shared" si="15"/>
        <v/>
      </c>
      <c r="AS8" s="5">
        <f>resultOnlatexABC16Dec24!AD13</f>
        <v>35232.449999999997</v>
      </c>
      <c r="AT8" s="7" t="str">
        <f t="shared" si="16"/>
        <v/>
      </c>
      <c r="AU8" s="7" t="s">
        <v>100</v>
      </c>
      <c r="AV8" s="5">
        <f>resultOnlatexABC16Dec24!AF13</f>
        <v>1404.78</v>
      </c>
      <c r="AW8" s="7" t="s">
        <v>100</v>
      </c>
      <c r="AX8" s="5">
        <f>resultOnlatexABC16Dec24!AH13</f>
        <v>35231.800000000003</v>
      </c>
      <c r="AY8" s="6" t="s">
        <v>102</v>
      </c>
      <c r="AZ8" s="8"/>
    </row>
    <row r="9" spans="2:52">
      <c r="B9" s="4" t="s">
        <v>15</v>
      </c>
      <c r="C9" s="4" t="s">
        <v>100</v>
      </c>
      <c r="D9" s="4" t="str">
        <f t="shared" si="0"/>
        <v>\textbf{</v>
      </c>
      <c r="E9" s="5">
        <f>resultOnlatexABC16Dec24!D14</f>
        <v>65003.48</v>
      </c>
      <c r="F9" s="4" t="str">
        <f t="shared" si="4"/>
        <v>}</v>
      </c>
      <c r="G9" s="4" t="s">
        <v>100</v>
      </c>
      <c r="H9" s="4" t="str">
        <f t="shared" si="5"/>
        <v>\textbf{</v>
      </c>
      <c r="I9" s="5">
        <f>resultOnlatexABC16Dec24!F14</f>
        <v>65003.48</v>
      </c>
      <c r="J9" s="4" t="str">
        <f t="shared" si="6"/>
        <v>}</v>
      </c>
      <c r="K9" s="4" t="s">
        <v>100</v>
      </c>
      <c r="L9" s="5">
        <f>resultOnlatexABC16Dec24!H14</f>
        <v>304.02</v>
      </c>
      <c r="M9" s="4" t="s">
        <v>100</v>
      </c>
      <c r="N9" s="5">
        <f>resultOnlatexABC16Dec24!J14</f>
        <v>65050.5</v>
      </c>
      <c r="O9" s="4" t="s">
        <v>100</v>
      </c>
      <c r="P9" s="4" t="str">
        <f t="shared" si="1"/>
        <v/>
      </c>
      <c r="Q9" s="5">
        <f>resultOnlatexABC16Dec24!L14</f>
        <v>65435.9</v>
      </c>
      <c r="R9" s="4" t="str">
        <f t="shared" si="2"/>
        <v/>
      </c>
      <c r="S9" s="4" t="s">
        <v>100</v>
      </c>
      <c r="T9" s="4" t="str">
        <f t="shared" si="7"/>
        <v/>
      </c>
      <c r="U9" s="5">
        <f>resultOnlatexABC16Dec24!N14</f>
        <v>65436.55</v>
      </c>
      <c r="V9" s="4" t="str">
        <f t="shared" si="8"/>
        <v/>
      </c>
      <c r="W9" s="4" t="s">
        <v>100</v>
      </c>
      <c r="X9" s="5">
        <f>resultOnlatexABC16Dec24!P14</f>
        <v>210.99</v>
      </c>
      <c r="Y9" s="4" t="s">
        <v>100</v>
      </c>
      <c r="Z9" s="5">
        <f>resultOnlatexABC16Dec24!R14</f>
        <v>65433.4</v>
      </c>
      <c r="AA9" s="4" t="s">
        <v>100</v>
      </c>
      <c r="AB9" s="4" t="str">
        <f t="shared" si="9"/>
        <v/>
      </c>
      <c r="AC9" s="5">
        <f>resultOnlatexABC16Dec24!T14</f>
        <v>65004</v>
      </c>
      <c r="AD9" s="4" t="str">
        <f t="shared" si="10"/>
        <v/>
      </c>
      <c r="AE9" s="4" t="s">
        <v>100</v>
      </c>
      <c r="AF9" s="4" t="str">
        <f t="shared" si="11"/>
        <v/>
      </c>
      <c r="AG9" s="5">
        <f>resultOnlatexABC16Dec24!V14</f>
        <v>65013.7</v>
      </c>
      <c r="AH9" s="4" t="str">
        <f t="shared" si="12"/>
        <v/>
      </c>
      <c r="AI9" s="4" t="s">
        <v>100</v>
      </c>
      <c r="AJ9" s="5">
        <f>resultOnlatexABC16Dec24!X14</f>
        <v>736.82</v>
      </c>
      <c r="AK9" s="4" t="s">
        <v>100</v>
      </c>
      <c r="AL9" s="5">
        <f>resultOnlatexABC16Dec24!Z14</f>
        <v>65011.4</v>
      </c>
      <c r="AM9" s="4" t="s">
        <v>100</v>
      </c>
      <c r="AN9" s="4" t="str">
        <f t="shared" si="13"/>
        <v/>
      </c>
      <c r="AO9" s="5">
        <f>resultOnlatexABC16Dec24!AB14</f>
        <v>65004</v>
      </c>
      <c r="AP9" s="7" t="str">
        <f t="shared" si="14"/>
        <v/>
      </c>
      <c r="AQ9" s="7" t="s">
        <v>100</v>
      </c>
      <c r="AR9" s="7" t="str">
        <f t="shared" si="15"/>
        <v/>
      </c>
      <c r="AS9" s="5">
        <f>resultOnlatexABC16Dec24!AD14</f>
        <v>65009.05</v>
      </c>
      <c r="AT9" s="7" t="str">
        <f t="shared" si="16"/>
        <v/>
      </c>
      <c r="AU9" s="7" t="s">
        <v>100</v>
      </c>
      <c r="AV9" s="5">
        <f>resultOnlatexABC16Dec24!AF14</f>
        <v>803.23</v>
      </c>
      <c r="AW9" s="7" t="s">
        <v>100</v>
      </c>
      <c r="AX9" s="5">
        <f>resultOnlatexABC16Dec24!AH14</f>
        <v>65011.4</v>
      </c>
      <c r="AY9" s="6" t="s">
        <v>102</v>
      </c>
      <c r="AZ9" s="8"/>
    </row>
    <row r="10" spans="2:52">
      <c r="B10" s="4" t="s">
        <v>16</v>
      </c>
      <c r="C10" s="4" t="s">
        <v>100</v>
      </c>
      <c r="D10" s="4" t="str">
        <f t="shared" si="0"/>
        <v>\textbf{</v>
      </c>
      <c r="E10" s="5">
        <f>resultOnlatexABC16Dec24!D15</f>
        <v>63293.84</v>
      </c>
      <c r="F10" s="4" t="str">
        <f t="shared" si="4"/>
        <v>}</v>
      </c>
      <c r="G10" s="4" t="s">
        <v>100</v>
      </c>
      <c r="H10" s="4" t="str">
        <f t="shared" si="5"/>
        <v>\textbf{</v>
      </c>
      <c r="I10" s="5">
        <f>resultOnlatexABC16Dec24!F15</f>
        <v>63297.9</v>
      </c>
      <c r="J10" s="4" t="str">
        <f t="shared" si="6"/>
        <v>}</v>
      </c>
      <c r="K10" s="4" t="s">
        <v>100</v>
      </c>
      <c r="L10" s="5">
        <f>resultOnlatexABC16Dec24!H15</f>
        <v>829.87</v>
      </c>
      <c r="M10" s="4" t="s">
        <v>100</v>
      </c>
      <c r="N10" s="5">
        <f>resultOnlatexABC16Dec24!J15</f>
        <v>63297</v>
      </c>
      <c r="O10" s="4" t="s">
        <v>100</v>
      </c>
      <c r="P10" s="4" t="str">
        <f t="shared" si="1"/>
        <v/>
      </c>
      <c r="Q10" s="5">
        <f>resultOnlatexABC16Dec24!L15</f>
        <v>64528.800000000003</v>
      </c>
      <c r="R10" s="4" t="str">
        <f t="shared" si="2"/>
        <v/>
      </c>
      <c r="S10" s="4" t="s">
        <v>100</v>
      </c>
      <c r="T10" s="4" t="str">
        <f t="shared" si="7"/>
        <v/>
      </c>
      <c r="U10" s="5">
        <f>resultOnlatexABC16Dec24!N15</f>
        <v>64716.69</v>
      </c>
      <c r="V10" s="4" t="str">
        <f t="shared" si="8"/>
        <v/>
      </c>
      <c r="W10" s="4" t="s">
        <v>100</v>
      </c>
      <c r="X10" s="5">
        <f>resultOnlatexABC16Dec24!P15</f>
        <v>1174.71</v>
      </c>
      <c r="Y10" s="4" t="s">
        <v>100</v>
      </c>
      <c r="Z10" s="5">
        <f>resultOnlatexABC16Dec24!R15</f>
        <v>64533.1</v>
      </c>
      <c r="AA10" s="4" t="s">
        <v>100</v>
      </c>
      <c r="AB10" s="4" t="str">
        <f t="shared" si="9"/>
        <v/>
      </c>
      <c r="AC10" s="5">
        <f>resultOnlatexABC16Dec24!T15</f>
        <v>63297.1</v>
      </c>
      <c r="AD10" s="4" t="str">
        <f t="shared" si="10"/>
        <v/>
      </c>
      <c r="AE10" s="4" t="s">
        <v>100</v>
      </c>
      <c r="AF10" s="4" t="str">
        <f t="shared" si="11"/>
        <v/>
      </c>
      <c r="AG10" s="5">
        <f>resultOnlatexABC16Dec24!V15</f>
        <v>63311.6</v>
      </c>
      <c r="AH10" s="4" t="str">
        <f t="shared" si="12"/>
        <v/>
      </c>
      <c r="AI10" s="4" t="s">
        <v>100</v>
      </c>
      <c r="AJ10" s="5">
        <f>resultOnlatexABC16Dec24!X15</f>
        <v>1350.66</v>
      </c>
      <c r="AK10" s="4" t="s">
        <v>100</v>
      </c>
      <c r="AL10" s="5">
        <f>resultOnlatexABC16Dec24!Z15</f>
        <v>63301.5</v>
      </c>
      <c r="AM10" s="4" t="s">
        <v>100</v>
      </c>
      <c r="AN10" s="4" t="str">
        <f t="shared" si="13"/>
        <v/>
      </c>
      <c r="AO10" s="5">
        <f>resultOnlatexABC16Dec24!AB15</f>
        <v>63299.6</v>
      </c>
      <c r="AP10" s="7" t="str">
        <f t="shared" si="14"/>
        <v/>
      </c>
      <c r="AQ10" s="7" t="s">
        <v>100</v>
      </c>
      <c r="AR10" s="7" t="str">
        <f t="shared" si="15"/>
        <v/>
      </c>
      <c r="AS10" s="5">
        <f>resultOnlatexABC16Dec24!AD15</f>
        <v>63332.74</v>
      </c>
      <c r="AT10" s="7" t="str">
        <f t="shared" si="16"/>
        <v/>
      </c>
      <c r="AU10" s="7" t="s">
        <v>100</v>
      </c>
      <c r="AV10" s="5">
        <f>resultOnlatexABC16Dec24!AF15</f>
        <v>1234.24</v>
      </c>
      <c r="AW10" s="7" t="s">
        <v>100</v>
      </c>
      <c r="AX10" s="5">
        <f>resultOnlatexABC16Dec24!AH15</f>
        <v>63303.6</v>
      </c>
      <c r="AY10" s="6" t="s">
        <v>102</v>
      </c>
      <c r="AZ10" s="8"/>
    </row>
    <row r="11" spans="2:52">
      <c r="B11" s="4" t="s">
        <v>17</v>
      </c>
      <c r="C11" s="4" t="s">
        <v>100</v>
      </c>
      <c r="D11" s="4" t="str">
        <f t="shared" si="0"/>
        <v>\textbf{</v>
      </c>
      <c r="E11" s="5">
        <f>resultOnlatexABC16Dec24!D16</f>
        <v>53201.45</v>
      </c>
      <c r="F11" s="4" t="str">
        <f t="shared" si="4"/>
        <v>}</v>
      </c>
      <c r="G11" s="4" t="s">
        <v>100</v>
      </c>
      <c r="H11" s="4" t="str">
        <f t="shared" si="5"/>
        <v>\textbf{</v>
      </c>
      <c r="I11" s="5">
        <f>resultOnlatexABC16Dec24!F16</f>
        <v>53207.38</v>
      </c>
      <c r="J11" s="4" t="str">
        <f t="shared" si="6"/>
        <v>}</v>
      </c>
      <c r="K11" s="4" t="s">
        <v>100</v>
      </c>
      <c r="L11" s="5">
        <f>resultOnlatexABC16Dec24!H16</f>
        <v>1145.47</v>
      </c>
      <c r="M11" s="4" t="s">
        <v>100</v>
      </c>
      <c r="N11" s="5">
        <f>resultOnlatexABC16Dec24!J16</f>
        <v>53200.2</v>
      </c>
      <c r="O11" s="4" t="s">
        <v>100</v>
      </c>
      <c r="P11" s="4" t="str">
        <f t="shared" si="1"/>
        <v/>
      </c>
      <c r="Q11" s="5">
        <f>resultOnlatexABC16Dec24!L16</f>
        <v>54360.9</v>
      </c>
      <c r="R11" s="4" t="str">
        <f t="shared" si="2"/>
        <v/>
      </c>
      <c r="S11" s="4" t="s">
        <v>100</v>
      </c>
      <c r="T11" s="4" t="str">
        <f t="shared" si="7"/>
        <v/>
      </c>
      <c r="U11" s="5">
        <f>resultOnlatexABC16Dec24!N16</f>
        <v>54472.18</v>
      </c>
      <c r="V11" s="4" t="str">
        <f t="shared" si="8"/>
        <v/>
      </c>
      <c r="W11" s="4" t="s">
        <v>100</v>
      </c>
      <c r="X11" s="5">
        <f>resultOnlatexABC16Dec24!P16</f>
        <v>1048.7</v>
      </c>
      <c r="Y11" s="4" t="s">
        <v>100</v>
      </c>
      <c r="Z11" s="5">
        <f>resultOnlatexABC16Dec24!R16</f>
        <v>54366.7</v>
      </c>
      <c r="AA11" s="4" t="s">
        <v>100</v>
      </c>
      <c r="AB11" s="4" t="str">
        <f t="shared" si="9"/>
        <v/>
      </c>
      <c r="AC11" s="5">
        <f>resultOnlatexABC16Dec24!T16</f>
        <v>53217.4</v>
      </c>
      <c r="AD11" s="4" t="str">
        <f t="shared" si="10"/>
        <v/>
      </c>
      <c r="AE11" s="4" t="s">
        <v>100</v>
      </c>
      <c r="AF11" s="4" t="str">
        <f t="shared" si="11"/>
        <v/>
      </c>
      <c r="AG11" s="5">
        <f>resultOnlatexABC16Dec24!V16</f>
        <v>53231.42</v>
      </c>
      <c r="AH11" s="4" t="str">
        <f t="shared" si="12"/>
        <v/>
      </c>
      <c r="AI11" s="4" t="s">
        <v>100</v>
      </c>
      <c r="AJ11" s="5">
        <f>resultOnlatexABC16Dec24!X16</f>
        <v>1539.94</v>
      </c>
      <c r="AK11" s="4" t="s">
        <v>100</v>
      </c>
      <c r="AL11" s="5">
        <f>resultOnlatexABC16Dec24!Z16</f>
        <v>53226.5</v>
      </c>
      <c r="AM11" s="4" t="s">
        <v>100</v>
      </c>
      <c r="AN11" s="4" t="str">
        <f t="shared" si="13"/>
        <v/>
      </c>
      <c r="AO11" s="5">
        <f>resultOnlatexABC16Dec24!AB16</f>
        <v>53231.3</v>
      </c>
      <c r="AP11" s="7" t="str">
        <f t="shared" si="14"/>
        <v/>
      </c>
      <c r="AQ11" s="7" t="s">
        <v>100</v>
      </c>
      <c r="AR11" s="7" t="str">
        <f t="shared" si="15"/>
        <v/>
      </c>
      <c r="AS11" s="5">
        <f>resultOnlatexABC16Dec24!AD16</f>
        <v>53250.43</v>
      </c>
      <c r="AT11" s="7" t="str">
        <f t="shared" si="16"/>
        <v/>
      </c>
      <c r="AU11" s="7" t="s">
        <v>100</v>
      </c>
      <c r="AV11" s="5">
        <f>resultOnlatexABC16Dec24!AF16</f>
        <v>1518.5</v>
      </c>
      <c r="AW11" s="7" t="s">
        <v>100</v>
      </c>
      <c r="AX11" s="5">
        <f>resultOnlatexABC16Dec24!AH16</f>
        <v>53237.4</v>
      </c>
      <c r="AY11" s="6" t="s">
        <v>102</v>
      </c>
      <c r="AZ11" s="8"/>
    </row>
    <row r="12" spans="2:52">
      <c r="B12" s="4" t="s">
        <v>18</v>
      </c>
      <c r="C12" s="4" t="s">
        <v>100</v>
      </c>
      <c r="D12" s="4" t="str">
        <f t="shared" si="0"/>
        <v>\textbf{</v>
      </c>
      <c r="E12" s="5">
        <f>resultOnlatexABC16Dec24!D17</f>
        <v>61352.43</v>
      </c>
      <c r="F12" s="4" t="str">
        <f t="shared" si="4"/>
        <v>}</v>
      </c>
      <c r="G12" s="4" t="s">
        <v>100</v>
      </c>
      <c r="H12" s="4" t="str">
        <f t="shared" si="5"/>
        <v>\textbf{</v>
      </c>
      <c r="I12" s="5">
        <f>resultOnlatexABC16Dec24!F17</f>
        <v>61359.5</v>
      </c>
      <c r="J12" s="4" t="str">
        <f t="shared" si="6"/>
        <v>}</v>
      </c>
      <c r="K12" s="4" t="s">
        <v>100</v>
      </c>
      <c r="L12" s="5">
        <f>resultOnlatexABC16Dec24!H17</f>
        <v>1062.79</v>
      </c>
      <c r="M12" s="4" t="s">
        <v>100</v>
      </c>
      <c r="N12" s="5">
        <f>resultOnlatexABC16Dec24!J17</f>
        <v>61362.3</v>
      </c>
      <c r="O12" s="4" t="s">
        <v>100</v>
      </c>
      <c r="P12" s="4" t="str">
        <f t="shared" si="1"/>
        <v/>
      </c>
      <c r="Q12" s="5">
        <f>resultOnlatexABC16Dec24!L17</f>
        <v>62634.9</v>
      </c>
      <c r="R12" s="4" t="str">
        <f t="shared" si="2"/>
        <v/>
      </c>
      <c r="S12" s="4" t="s">
        <v>100</v>
      </c>
      <c r="T12" s="4" t="str">
        <f t="shared" si="7"/>
        <v/>
      </c>
      <c r="U12" s="5">
        <f>resultOnlatexABC16Dec24!N17</f>
        <v>62919.44</v>
      </c>
      <c r="V12" s="4" t="str">
        <f t="shared" si="8"/>
        <v/>
      </c>
      <c r="W12" s="4" t="s">
        <v>100</v>
      </c>
      <c r="X12" s="5">
        <f>resultOnlatexABC16Dec24!P17</f>
        <v>1021.26</v>
      </c>
      <c r="Y12" s="4" t="s">
        <v>100</v>
      </c>
      <c r="Z12" s="5">
        <f>resultOnlatexABC16Dec24!R17</f>
        <v>62670.2</v>
      </c>
      <c r="AA12" s="4" t="s">
        <v>100</v>
      </c>
      <c r="AB12" s="4" t="str">
        <f t="shared" si="9"/>
        <v/>
      </c>
      <c r="AC12" s="5">
        <f>resultOnlatexABC16Dec24!T17</f>
        <v>61382.6</v>
      </c>
      <c r="AD12" s="4" t="str">
        <f t="shared" si="10"/>
        <v/>
      </c>
      <c r="AE12" s="4" t="s">
        <v>100</v>
      </c>
      <c r="AF12" s="4" t="str">
        <f t="shared" si="11"/>
        <v/>
      </c>
      <c r="AG12" s="5">
        <f>resultOnlatexABC16Dec24!V17</f>
        <v>61638.83</v>
      </c>
      <c r="AH12" s="4" t="str">
        <f t="shared" si="12"/>
        <v/>
      </c>
      <c r="AI12" s="4" t="s">
        <v>100</v>
      </c>
      <c r="AJ12" s="5">
        <f>resultOnlatexABC16Dec24!X17</f>
        <v>1489.04</v>
      </c>
      <c r="AK12" s="4" t="s">
        <v>100</v>
      </c>
      <c r="AL12" s="5">
        <f>resultOnlatexABC16Dec24!Z17</f>
        <v>61390.9</v>
      </c>
      <c r="AM12" s="4" t="s">
        <v>100</v>
      </c>
      <c r="AN12" s="4" t="str">
        <f t="shared" si="13"/>
        <v/>
      </c>
      <c r="AO12" s="5">
        <f>resultOnlatexABC16Dec24!AB17</f>
        <v>61410.1</v>
      </c>
      <c r="AP12" s="7" t="str">
        <f t="shared" si="14"/>
        <v/>
      </c>
      <c r="AQ12" s="7" t="s">
        <v>100</v>
      </c>
      <c r="AR12" s="7" t="str">
        <f t="shared" si="15"/>
        <v/>
      </c>
      <c r="AS12" s="5">
        <f>resultOnlatexABC16Dec24!AD17</f>
        <v>61664.57</v>
      </c>
      <c r="AT12" s="7" t="str">
        <f t="shared" si="16"/>
        <v/>
      </c>
      <c r="AU12" s="7" t="s">
        <v>100</v>
      </c>
      <c r="AV12" s="5">
        <f>resultOnlatexABC16Dec24!AF17</f>
        <v>1575.11</v>
      </c>
      <c r="AW12" s="7" t="s">
        <v>100</v>
      </c>
      <c r="AX12" s="5">
        <f>resultOnlatexABC16Dec24!AH17</f>
        <v>61428.1</v>
      </c>
      <c r="AY12" s="6" t="s">
        <v>102</v>
      </c>
      <c r="AZ12" s="8"/>
    </row>
    <row r="13" spans="2:52">
      <c r="B13" s="4" t="s">
        <v>19</v>
      </c>
      <c r="C13" s="4" t="s">
        <v>100</v>
      </c>
      <c r="D13" s="4" t="str">
        <f t="shared" si="0"/>
        <v>\textbf{</v>
      </c>
      <c r="E13" s="5">
        <f>resultOnlatexABC16Dec24!D18</f>
        <v>88253.35</v>
      </c>
      <c r="F13" s="4" t="str">
        <f t="shared" si="4"/>
        <v>}</v>
      </c>
      <c r="G13" s="4" t="s">
        <v>100</v>
      </c>
      <c r="H13" s="4" t="str">
        <f t="shared" si="5"/>
        <v>\textbf{</v>
      </c>
      <c r="I13" s="5">
        <f>resultOnlatexABC16Dec24!F18</f>
        <v>88419.96</v>
      </c>
      <c r="J13" s="4" t="str">
        <f t="shared" si="6"/>
        <v>}</v>
      </c>
      <c r="K13" s="4" t="s">
        <v>100</v>
      </c>
      <c r="L13" s="5">
        <f>resultOnlatexABC16Dec24!H18</f>
        <v>1475.47</v>
      </c>
      <c r="M13" s="4" t="s">
        <v>100</v>
      </c>
      <c r="N13" s="5">
        <f>resultOnlatexABC16Dec24!J18</f>
        <v>88276.9</v>
      </c>
      <c r="O13" s="4" t="s">
        <v>100</v>
      </c>
      <c r="P13" s="4" t="str">
        <f t="shared" si="1"/>
        <v/>
      </c>
      <c r="Q13" s="5">
        <f>resultOnlatexABC16Dec24!L18</f>
        <v>89484.800000000003</v>
      </c>
      <c r="R13" s="4" t="str">
        <f t="shared" si="2"/>
        <v/>
      </c>
      <c r="S13" s="4" t="s">
        <v>100</v>
      </c>
      <c r="T13" s="4" t="str">
        <f t="shared" si="7"/>
        <v/>
      </c>
      <c r="U13" s="5">
        <f>resultOnlatexABC16Dec24!N18</f>
        <v>89661.75</v>
      </c>
      <c r="V13" s="4" t="str">
        <f t="shared" si="8"/>
        <v/>
      </c>
      <c r="W13" s="4" t="s">
        <v>100</v>
      </c>
      <c r="X13" s="5">
        <f>resultOnlatexABC16Dec24!P18</f>
        <v>1232</v>
      </c>
      <c r="Y13" s="4" t="s">
        <v>100</v>
      </c>
      <c r="Z13" s="5">
        <f>resultOnlatexABC16Dec24!R18</f>
        <v>89494.399999999994</v>
      </c>
      <c r="AA13" s="4" t="s">
        <v>100</v>
      </c>
      <c r="AB13" s="4" t="str">
        <f t="shared" si="9"/>
        <v/>
      </c>
      <c r="AC13" s="5">
        <f>resultOnlatexABC16Dec24!T18</f>
        <v>88406.9</v>
      </c>
      <c r="AD13" s="4" t="str">
        <f t="shared" si="10"/>
        <v/>
      </c>
      <c r="AE13" s="4" t="s">
        <v>100</v>
      </c>
      <c r="AF13" s="4" t="str">
        <f t="shared" si="11"/>
        <v/>
      </c>
      <c r="AG13" s="5">
        <f>resultOnlatexABC16Dec24!V18</f>
        <v>88635.54</v>
      </c>
      <c r="AH13" s="4" t="str">
        <f t="shared" si="12"/>
        <v/>
      </c>
      <c r="AI13" s="4" t="s">
        <v>100</v>
      </c>
      <c r="AJ13" s="5">
        <f>resultOnlatexABC16Dec24!X18</f>
        <v>1608.49</v>
      </c>
      <c r="AK13" s="4" t="s">
        <v>100</v>
      </c>
      <c r="AL13" s="5">
        <f>resultOnlatexABC16Dec24!Z18</f>
        <v>88439.3</v>
      </c>
      <c r="AM13" s="4" t="s">
        <v>100</v>
      </c>
      <c r="AN13" s="4" t="str">
        <f t="shared" si="13"/>
        <v/>
      </c>
      <c r="AO13" s="5">
        <f>resultOnlatexABC16Dec24!AB18</f>
        <v>88648.5</v>
      </c>
      <c r="AP13" s="7" t="str">
        <f t="shared" si="14"/>
        <v/>
      </c>
      <c r="AQ13" s="7" t="s">
        <v>100</v>
      </c>
      <c r="AR13" s="7" t="str">
        <f t="shared" si="15"/>
        <v/>
      </c>
      <c r="AS13" s="5">
        <f>resultOnlatexABC16Dec24!AD18</f>
        <v>88768.15</v>
      </c>
      <c r="AT13" s="7" t="str">
        <f t="shared" si="16"/>
        <v/>
      </c>
      <c r="AU13" s="7" t="s">
        <v>100</v>
      </c>
      <c r="AV13" s="5">
        <f>resultOnlatexABC16Dec24!AF18</f>
        <v>1499.46</v>
      </c>
      <c r="AW13" s="7" t="s">
        <v>100</v>
      </c>
      <c r="AX13" s="5">
        <f>resultOnlatexABC16Dec24!AH18</f>
        <v>88651.6</v>
      </c>
      <c r="AY13" s="6" t="s">
        <v>102</v>
      </c>
      <c r="AZ13" s="8"/>
    </row>
    <row r="14" spans="2:52">
      <c r="B14" s="4" t="s">
        <v>20</v>
      </c>
      <c r="C14" s="4" t="s">
        <v>100</v>
      </c>
      <c r="D14" s="4" t="str">
        <f t="shared" si="0"/>
        <v>\textbf{</v>
      </c>
      <c r="E14" s="5">
        <f>resultOnlatexABC16Dec24!D19</f>
        <v>83443.56</v>
      </c>
      <c r="F14" s="4" t="str">
        <f t="shared" si="4"/>
        <v>}</v>
      </c>
      <c r="G14" s="4" t="s">
        <v>100</v>
      </c>
      <c r="H14" s="4" t="str">
        <f t="shared" si="5"/>
        <v>\textbf{</v>
      </c>
      <c r="I14" s="5">
        <f>resultOnlatexABC16Dec24!F19</f>
        <v>83487.839999999997</v>
      </c>
      <c r="J14" s="4" t="str">
        <f t="shared" si="6"/>
        <v>}</v>
      </c>
      <c r="K14" s="4" t="s">
        <v>100</v>
      </c>
      <c r="L14" s="5">
        <f>resultOnlatexABC16Dec24!H19</f>
        <v>1415.68</v>
      </c>
      <c r="M14" s="4" t="s">
        <v>100</v>
      </c>
      <c r="N14" s="5">
        <f>resultOnlatexABC16Dec24!J19</f>
        <v>83429.3</v>
      </c>
      <c r="O14" s="4" t="s">
        <v>100</v>
      </c>
      <c r="P14" s="4" t="str">
        <f t="shared" si="1"/>
        <v/>
      </c>
      <c r="Q14" s="5">
        <f>resultOnlatexABC16Dec24!L19</f>
        <v>84860.4</v>
      </c>
      <c r="R14" s="4" t="str">
        <f t="shared" si="2"/>
        <v/>
      </c>
      <c r="S14" s="4" t="s">
        <v>100</v>
      </c>
      <c r="T14" s="4" t="str">
        <f t="shared" si="7"/>
        <v/>
      </c>
      <c r="U14" s="5">
        <f>resultOnlatexABC16Dec24!N19</f>
        <v>84914.83</v>
      </c>
      <c r="V14" s="4" t="str">
        <f t="shared" si="8"/>
        <v/>
      </c>
      <c r="W14" s="4" t="s">
        <v>100</v>
      </c>
      <c r="X14" s="5">
        <f>resultOnlatexABC16Dec24!P19</f>
        <v>1215.1600000000001</v>
      </c>
      <c r="Y14" s="4" t="s">
        <v>100</v>
      </c>
      <c r="Z14" s="5">
        <f>resultOnlatexABC16Dec24!R19</f>
        <v>84844.7</v>
      </c>
      <c r="AA14" s="4" t="s">
        <v>100</v>
      </c>
      <c r="AB14" s="4" t="str">
        <f t="shared" si="9"/>
        <v/>
      </c>
      <c r="AC14" s="5">
        <f>resultOnlatexABC16Dec24!T19</f>
        <v>83640.7</v>
      </c>
      <c r="AD14" s="4" t="str">
        <f t="shared" si="10"/>
        <v/>
      </c>
      <c r="AE14" s="4" t="s">
        <v>100</v>
      </c>
      <c r="AF14" s="4" t="str">
        <f t="shared" si="11"/>
        <v/>
      </c>
      <c r="AG14" s="5">
        <f>resultOnlatexABC16Dec24!V19</f>
        <v>83728.679999999993</v>
      </c>
      <c r="AH14" s="4" t="str">
        <f t="shared" si="12"/>
        <v/>
      </c>
      <c r="AI14" s="4" t="s">
        <v>100</v>
      </c>
      <c r="AJ14" s="5">
        <f>resultOnlatexABC16Dec24!X19</f>
        <v>1557.19</v>
      </c>
      <c r="AK14" s="4" t="s">
        <v>100</v>
      </c>
      <c r="AL14" s="5">
        <f>resultOnlatexABC16Dec24!Z19</f>
        <v>83622.600000000006</v>
      </c>
      <c r="AM14" s="4" t="s">
        <v>100</v>
      </c>
      <c r="AN14" s="4" t="str">
        <f t="shared" si="13"/>
        <v/>
      </c>
      <c r="AO14" s="5">
        <f>resultOnlatexABC16Dec24!AB19</f>
        <v>83738.100000000006</v>
      </c>
      <c r="AP14" s="7" t="str">
        <f t="shared" si="14"/>
        <v/>
      </c>
      <c r="AQ14" s="7" t="s">
        <v>100</v>
      </c>
      <c r="AR14" s="7" t="str">
        <f t="shared" si="15"/>
        <v/>
      </c>
      <c r="AS14" s="5">
        <f>resultOnlatexABC16Dec24!AD19</f>
        <v>83832.77</v>
      </c>
      <c r="AT14" s="7" t="str">
        <f t="shared" si="16"/>
        <v/>
      </c>
      <c r="AU14" s="7" t="s">
        <v>100</v>
      </c>
      <c r="AV14" s="5">
        <f>resultOnlatexABC16Dec24!AF19</f>
        <v>1440.25</v>
      </c>
      <c r="AW14" s="7" t="s">
        <v>100</v>
      </c>
      <c r="AX14" s="5">
        <f>resultOnlatexABC16Dec24!AH19</f>
        <v>83713.3</v>
      </c>
      <c r="AY14" s="6" t="s">
        <v>102</v>
      </c>
      <c r="AZ14" s="8"/>
    </row>
    <row r="15" spans="2:52">
      <c r="B15" s="4" t="s">
        <v>21</v>
      </c>
      <c r="C15" s="4" t="s">
        <v>100</v>
      </c>
      <c r="D15" s="4" t="str">
        <f t="shared" si="0"/>
        <v>\textbf{</v>
      </c>
      <c r="E15" s="5">
        <f>resultOnlatexABC16Dec24!D20</f>
        <v>107222.34</v>
      </c>
      <c r="F15" s="4" t="str">
        <f t="shared" si="4"/>
        <v>}</v>
      </c>
      <c r="G15" s="4" t="s">
        <v>100</v>
      </c>
      <c r="H15" s="4" t="str">
        <f t="shared" si="5"/>
        <v>\textbf{</v>
      </c>
      <c r="I15" s="5">
        <f>resultOnlatexABC16Dec24!F20</f>
        <v>107306.55</v>
      </c>
      <c r="J15" s="4" t="str">
        <f t="shared" si="6"/>
        <v>}</v>
      </c>
      <c r="K15" s="4" t="s">
        <v>100</v>
      </c>
      <c r="L15" s="5">
        <f>resultOnlatexABC16Dec24!H20</f>
        <v>1623.5</v>
      </c>
      <c r="M15" s="4" t="s">
        <v>100</v>
      </c>
      <c r="N15" s="5">
        <f>resultOnlatexABC16Dec24!J20</f>
        <v>107293.3</v>
      </c>
      <c r="O15" s="4" t="s">
        <v>100</v>
      </c>
      <c r="P15" s="4" t="str">
        <f t="shared" si="1"/>
        <v/>
      </c>
      <c r="Q15" s="5">
        <f>resultOnlatexABC16Dec24!L20</f>
        <v>109285.7</v>
      </c>
      <c r="R15" s="4" t="str">
        <f t="shared" si="2"/>
        <v/>
      </c>
      <c r="S15" s="4" t="s">
        <v>100</v>
      </c>
      <c r="T15" s="4" t="str">
        <f t="shared" si="7"/>
        <v/>
      </c>
      <c r="U15" s="5">
        <f>resultOnlatexABC16Dec24!N20</f>
        <v>109760.73</v>
      </c>
      <c r="V15" s="4" t="str">
        <f t="shared" si="8"/>
        <v/>
      </c>
      <c r="W15" s="4" t="s">
        <v>100</v>
      </c>
      <c r="X15" s="5">
        <f>resultOnlatexABC16Dec24!P20</f>
        <v>1641.64</v>
      </c>
      <c r="Y15" s="4" t="s">
        <v>100</v>
      </c>
      <c r="Z15" s="5">
        <f>resultOnlatexABC16Dec24!R20</f>
        <v>109363.2</v>
      </c>
      <c r="AA15" s="4" t="s">
        <v>100</v>
      </c>
      <c r="AB15" s="4" t="str">
        <f t="shared" si="9"/>
        <v/>
      </c>
      <c r="AC15" s="5">
        <f>resultOnlatexABC16Dec24!T20</f>
        <v>107351.6</v>
      </c>
      <c r="AD15" s="4" t="str">
        <f t="shared" si="10"/>
        <v/>
      </c>
      <c r="AE15" s="4" t="s">
        <v>100</v>
      </c>
      <c r="AF15" s="4" t="str">
        <f t="shared" si="11"/>
        <v/>
      </c>
      <c r="AG15" s="5">
        <f>resultOnlatexABC16Dec24!V20</f>
        <v>107708.26</v>
      </c>
      <c r="AH15" s="4" t="str">
        <f t="shared" si="12"/>
        <v/>
      </c>
      <c r="AI15" s="4" t="s">
        <v>100</v>
      </c>
      <c r="AJ15" s="5">
        <f>resultOnlatexABC16Dec24!X20</f>
        <v>1493.44</v>
      </c>
      <c r="AK15" s="4" t="s">
        <v>100</v>
      </c>
      <c r="AL15" s="5">
        <f>resultOnlatexABC16Dec24!Z20</f>
        <v>107430.5</v>
      </c>
      <c r="AM15" s="4" t="s">
        <v>100</v>
      </c>
      <c r="AN15" s="4" t="str">
        <f t="shared" si="13"/>
        <v/>
      </c>
      <c r="AO15" s="5">
        <f>resultOnlatexABC16Dec24!AB20</f>
        <v>107696</v>
      </c>
      <c r="AP15" s="7" t="str">
        <f t="shared" si="14"/>
        <v/>
      </c>
      <c r="AQ15" s="7" t="s">
        <v>100</v>
      </c>
      <c r="AR15" s="7" t="str">
        <f t="shared" si="15"/>
        <v/>
      </c>
      <c r="AS15" s="5">
        <f>resultOnlatexABC16Dec24!AD20</f>
        <v>107896.96000000001</v>
      </c>
      <c r="AT15" s="7" t="str">
        <f t="shared" si="16"/>
        <v/>
      </c>
      <c r="AU15" s="7" t="s">
        <v>100</v>
      </c>
      <c r="AV15" s="5">
        <f>resultOnlatexABC16Dec24!AF20</f>
        <v>1289.25</v>
      </c>
      <c r="AW15" s="7" t="s">
        <v>100</v>
      </c>
      <c r="AX15" s="5">
        <f>resultOnlatexABC16Dec24!AH20</f>
        <v>107776</v>
      </c>
      <c r="AY15" s="6" t="s">
        <v>102</v>
      </c>
      <c r="AZ15" s="8"/>
    </row>
    <row r="16" spans="2:52">
      <c r="B16" s="4" t="s">
        <v>22</v>
      </c>
      <c r="C16" s="4" t="s">
        <v>100</v>
      </c>
      <c r="D16" s="4" t="str">
        <f t="shared" si="0"/>
        <v>\textbf{</v>
      </c>
      <c r="E16" s="5">
        <f>resultOnlatexABC16Dec24!D21</f>
        <v>118623.58</v>
      </c>
      <c r="F16" s="4" t="str">
        <f t="shared" si="4"/>
        <v>}</v>
      </c>
      <c r="G16" s="4" t="s">
        <v>100</v>
      </c>
      <c r="H16" s="4" t="str">
        <f t="shared" si="5"/>
        <v>\textbf{</v>
      </c>
      <c r="I16" s="5">
        <f>resultOnlatexABC16Dec24!F21</f>
        <v>118892.14</v>
      </c>
      <c r="J16" s="4" t="str">
        <f t="shared" si="6"/>
        <v>}</v>
      </c>
      <c r="K16" s="4" t="s">
        <v>100</v>
      </c>
      <c r="L16" s="5">
        <f>resultOnlatexABC16Dec24!H21</f>
        <v>1577.57</v>
      </c>
      <c r="M16" s="4" t="s">
        <v>100</v>
      </c>
      <c r="N16" s="5">
        <f>resultOnlatexABC16Dec24!J21</f>
        <v>118657</v>
      </c>
      <c r="O16" s="4" t="s">
        <v>100</v>
      </c>
      <c r="P16" s="4" t="str">
        <f t="shared" si="1"/>
        <v/>
      </c>
      <c r="Q16" s="5">
        <f>resultOnlatexABC16Dec24!L21</f>
        <v>120417.4</v>
      </c>
      <c r="R16" s="4" t="str">
        <f t="shared" si="2"/>
        <v/>
      </c>
      <c r="S16" s="4" t="s">
        <v>100</v>
      </c>
      <c r="T16" s="4" t="str">
        <f t="shared" si="7"/>
        <v/>
      </c>
      <c r="U16" s="5">
        <f>resultOnlatexABC16Dec24!N21</f>
        <v>120889.36</v>
      </c>
      <c r="V16" s="4" t="str">
        <f t="shared" si="8"/>
        <v/>
      </c>
      <c r="W16" s="4" t="s">
        <v>100</v>
      </c>
      <c r="X16" s="5">
        <f>resultOnlatexABC16Dec24!P21</f>
        <v>1316.4</v>
      </c>
      <c r="Y16" s="4" t="s">
        <v>100</v>
      </c>
      <c r="Z16" s="5">
        <f>resultOnlatexABC16Dec24!R21</f>
        <v>120436.7</v>
      </c>
      <c r="AA16" s="4" t="s">
        <v>100</v>
      </c>
      <c r="AB16" s="4" t="str">
        <f t="shared" si="9"/>
        <v/>
      </c>
      <c r="AC16" s="5">
        <f>resultOnlatexABC16Dec24!T21</f>
        <v>119144.1</v>
      </c>
      <c r="AD16" s="4" t="str">
        <f t="shared" si="10"/>
        <v/>
      </c>
      <c r="AE16" s="4" t="s">
        <v>100</v>
      </c>
      <c r="AF16" s="4" t="str">
        <f t="shared" si="11"/>
        <v/>
      </c>
      <c r="AG16" s="5">
        <f>resultOnlatexABC16Dec24!V21</f>
        <v>119248.44</v>
      </c>
      <c r="AH16" s="4" t="str">
        <f t="shared" si="12"/>
        <v/>
      </c>
      <c r="AI16" s="4" t="s">
        <v>100</v>
      </c>
      <c r="AJ16" s="5">
        <f>resultOnlatexABC16Dec24!X21</f>
        <v>1449.91</v>
      </c>
      <c r="AK16" s="4" t="s">
        <v>100</v>
      </c>
      <c r="AL16" s="5">
        <f>resultOnlatexABC16Dec24!Z21</f>
        <v>119161.4</v>
      </c>
      <c r="AM16" s="4" t="s">
        <v>100</v>
      </c>
      <c r="AN16" s="4" t="str">
        <f t="shared" si="13"/>
        <v/>
      </c>
      <c r="AO16" s="5">
        <f>resultOnlatexABC16Dec24!AB21</f>
        <v>119199.8</v>
      </c>
      <c r="AP16" s="7" t="str">
        <f t="shared" si="14"/>
        <v/>
      </c>
      <c r="AQ16" s="7" t="s">
        <v>100</v>
      </c>
      <c r="AR16" s="7" t="str">
        <f t="shared" si="15"/>
        <v/>
      </c>
      <c r="AS16" s="5">
        <f>resultOnlatexABC16Dec24!AD21</f>
        <v>119429.96</v>
      </c>
      <c r="AT16" s="7" t="str">
        <f t="shared" si="16"/>
        <v/>
      </c>
      <c r="AU16" s="7" t="s">
        <v>100</v>
      </c>
      <c r="AV16" s="5">
        <f>resultOnlatexABC16Dec24!AF21</f>
        <v>1417.97</v>
      </c>
      <c r="AW16" s="7" t="s">
        <v>100</v>
      </c>
      <c r="AX16" s="5">
        <f>resultOnlatexABC16Dec24!AH21</f>
        <v>119203</v>
      </c>
      <c r="AY16" s="6" t="s">
        <v>102</v>
      </c>
      <c r="AZ16" s="8"/>
    </row>
    <row r="17" spans="2:52">
      <c r="B17" s="4" t="s">
        <v>23</v>
      </c>
      <c r="C17" s="4" t="s">
        <v>100</v>
      </c>
      <c r="D17" s="4" t="str">
        <f t="shared" si="0"/>
        <v>\textbf{</v>
      </c>
      <c r="E17" s="5">
        <f>resultOnlatexABC16Dec24!D22</f>
        <v>259656.7</v>
      </c>
      <c r="F17" s="4" t="str">
        <f t="shared" si="4"/>
        <v>}</v>
      </c>
      <c r="G17" s="4" t="s">
        <v>100</v>
      </c>
      <c r="H17" s="4" t="str">
        <f t="shared" si="5"/>
        <v>\textbf{</v>
      </c>
      <c r="I17" s="5">
        <f>resultOnlatexABC16Dec24!F22</f>
        <v>259869.59</v>
      </c>
      <c r="J17" s="4" t="str">
        <f t="shared" si="6"/>
        <v>}</v>
      </c>
      <c r="K17" s="4" t="s">
        <v>100</v>
      </c>
      <c r="L17" s="5">
        <f>resultOnlatexABC16Dec24!H22</f>
        <v>1653.67</v>
      </c>
      <c r="M17" s="4" t="s">
        <v>100</v>
      </c>
      <c r="N17" s="5">
        <f>resultOnlatexABC16Dec24!J22</f>
        <v>259652.1</v>
      </c>
      <c r="O17" s="4" t="s">
        <v>100</v>
      </c>
      <c r="P17" s="4" t="str">
        <f t="shared" si="1"/>
        <v/>
      </c>
      <c r="Q17" s="5">
        <f>resultOnlatexABC16Dec24!L22</f>
        <v>260943.6</v>
      </c>
      <c r="R17" s="4" t="str">
        <f t="shared" si="2"/>
        <v/>
      </c>
      <c r="S17" s="4" t="s">
        <v>100</v>
      </c>
      <c r="T17" s="4" t="str">
        <f t="shared" si="7"/>
        <v/>
      </c>
      <c r="U17" s="5">
        <f>resultOnlatexABC16Dec24!N22</f>
        <v>261216.01</v>
      </c>
      <c r="V17" s="4" t="str">
        <f t="shared" si="8"/>
        <v/>
      </c>
      <c r="W17" s="4" t="s">
        <v>100</v>
      </c>
      <c r="X17" s="5">
        <f>resultOnlatexABC16Dec24!P22</f>
        <v>1657.82</v>
      </c>
      <c r="Y17" s="4" t="s">
        <v>100</v>
      </c>
      <c r="Z17" s="5">
        <f>resultOnlatexABC16Dec24!R22</f>
        <v>260904.7</v>
      </c>
      <c r="AA17" s="4" t="s">
        <v>100</v>
      </c>
      <c r="AB17" s="4" t="str">
        <f t="shared" si="9"/>
        <v/>
      </c>
      <c r="AC17" s="5">
        <f>resultOnlatexABC16Dec24!T22</f>
        <v>260061.1</v>
      </c>
      <c r="AD17" s="4" t="str">
        <f t="shared" si="10"/>
        <v/>
      </c>
      <c r="AE17" s="4" t="s">
        <v>100</v>
      </c>
      <c r="AF17" s="4" t="str">
        <f t="shared" si="11"/>
        <v/>
      </c>
      <c r="AG17" s="5">
        <f>resultOnlatexABC16Dec24!V22</f>
        <v>260153.49</v>
      </c>
      <c r="AH17" s="4" t="str">
        <f t="shared" si="12"/>
        <v/>
      </c>
      <c r="AI17" s="4" t="s">
        <v>100</v>
      </c>
      <c r="AJ17" s="5">
        <f>resultOnlatexABC16Dec24!X22</f>
        <v>1296.8699999999999</v>
      </c>
      <c r="AK17" s="4" t="s">
        <v>100</v>
      </c>
      <c r="AL17" s="5">
        <f>resultOnlatexABC16Dec24!Z22</f>
        <v>260048</v>
      </c>
      <c r="AM17" s="4" t="s">
        <v>100</v>
      </c>
      <c r="AN17" s="4" t="str">
        <f t="shared" si="13"/>
        <v/>
      </c>
      <c r="AO17" s="5">
        <f>resultOnlatexABC16Dec24!AB22</f>
        <v>260151.2</v>
      </c>
      <c r="AP17" s="7" t="str">
        <f t="shared" si="14"/>
        <v/>
      </c>
      <c r="AQ17" s="7" t="s">
        <v>100</v>
      </c>
      <c r="AR17" s="7" t="str">
        <f t="shared" si="15"/>
        <v/>
      </c>
      <c r="AS17" s="5">
        <f>resultOnlatexABC16Dec24!AD22</f>
        <v>260237.58</v>
      </c>
      <c r="AT17" s="7" t="str">
        <f t="shared" si="16"/>
        <v/>
      </c>
      <c r="AU17" s="7" t="s">
        <v>100</v>
      </c>
      <c r="AV17" s="5">
        <f>resultOnlatexABC16Dec24!AF22</f>
        <v>673.55</v>
      </c>
      <c r="AW17" s="7" t="s">
        <v>100</v>
      </c>
      <c r="AX17" s="5">
        <f>resultOnlatexABC16Dec24!AH22</f>
        <v>260146.8</v>
      </c>
      <c r="AY17" s="6" t="s">
        <v>102</v>
      </c>
      <c r="AZ17" s="8"/>
    </row>
    <row r="18" spans="2:52">
      <c r="B18" s="4" t="s">
        <v>24</v>
      </c>
      <c r="C18" s="4" t="s">
        <v>100</v>
      </c>
      <c r="D18" s="4" t="str">
        <f t="shared" si="0"/>
        <v>\textbf{</v>
      </c>
      <c r="E18" s="5">
        <f>resultOnlatexABC16Dec24!D23</f>
        <v>168321.2</v>
      </c>
      <c r="F18" s="4" t="str">
        <f t="shared" si="4"/>
        <v>}</v>
      </c>
      <c r="G18" s="4" t="s">
        <v>100</v>
      </c>
      <c r="H18" s="4" t="str">
        <f t="shared" si="5"/>
        <v>\textbf{</v>
      </c>
      <c r="I18" s="5">
        <f>resultOnlatexABC16Dec24!F23</f>
        <v>168378.93</v>
      </c>
      <c r="J18" s="4" t="str">
        <f t="shared" si="6"/>
        <v>}</v>
      </c>
      <c r="K18" s="4" t="s">
        <v>100</v>
      </c>
      <c r="L18" s="5">
        <f>resultOnlatexABC16Dec24!H23</f>
        <v>1522.26</v>
      </c>
      <c r="M18" s="4" t="s">
        <v>100</v>
      </c>
      <c r="N18" s="5">
        <f>resultOnlatexABC16Dec24!J23</f>
        <v>168355.20000000001</v>
      </c>
      <c r="O18" s="4" t="s">
        <v>100</v>
      </c>
      <c r="P18" s="4" t="str">
        <f t="shared" si="1"/>
        <v/>
      </c>
      <c r="Q18" s="5">
        <f>resultOnlatexABC16Dec24!L23</f>
        <v>171459.9</v>
      </c>
      <c r="R18" s="4" t="str">
        <f t="shared" si="2"/>
        <v/>
      </c>
      <c r="S18" s="4" t="s">
        <v>100</v>
      </c>
      <c r="T18" s="4" t="str">
        <f t="shared" si="7"/>
        <v/>
      </c>
      <c r="U18" s="5">
        <f>resultOnlatexABC16Dec24!N23</f>
        <v>171710.13</v>
      </c>
      <c r="V18" s="4" t="str">
        <f t="shared" si="8"/>
        <v/>
      </c>
      <c r="W18" s="4" t="s">
        <v>100</v>
      </c>
      <c r="X18" s="5">
        <f>resultOnlatexABC16Dec24!P23</f>
        <v>1577.1</v>
      </c>
      <c r="Y18" s="4" t="s">
        <v>100</v>
      </c>
      <c r="Z18" s="5">
        <f>resultOnlatexABC16Dec24!R23</f>
        <v>171457.3</v>
      </c>
      <c r="AA18" s="4" t="s">
        <v>100</v>
      </c>
      <c r="AB18" s="4" t="str">
        <f t="shared" si="9"/>
        <v/>
      </c>
      <c r="AC18" s="5">
        <f>resultOnlatexABC16Dec24!T23</f>
        <v>168610.9</v>
      </c>
      <c r="AD18" s="4" t="str">
        <f t="shared" si="10"/>
        <v/>
      </c>
      <c r="AE18" s="4" t="s">
        <v>100</v>
      </c>
      <c r="AF18" s="4" t="str">
        <f t="shared" si="11"/>
        <v/>
      </c>
      <c r="AG18" s="5">
        <f>resultOnlatexABC16Dec24!V23</f>
        <v>168956.81</v>
      </c>
      <c r="AH18" s="4" t="str">
        <f t="shared" si="12"/>
        <v/>
      </c>
      <c r="AI18" s="4" t="s">
        <v>100</v>
      </c>
      <c r="AJ18" s="5">
        <f>resultOnlatexABC16Dec24!X23</f>
        <v>1617.92</v>
      </c>
      <c r="AK18" s="4" t="s">
        <v>100</v>
      </c>
      <c r="AL18" s="5">
        <f>resultOnlatexABC16Dec24!Z23</f>
        <v>168647.5</v>
      </c>
      <c r="AM18" s="4" t="s">
        <v>100</v>
      </c>
      <c r="AN18" s="4" t="str">
        <f t="shared" si="13"/>
        <v/>
      </c>
      <c r="AO18" s="5">
        <f>resultOnlatexABC16Dec24!AB23</f>
        <v>169022.6</v>
      </c>
      <c r="AP18" s="7" t="str">
        <f t="shared" si="14"/>
        <v/>
      </c>
      <c r="AQ18" s="7" t="s">
        <v>100</v>
      </c>
      <c r="AR18" s="7" t="str">
        <f t="shared" si="15"/>
        <v/>
      </c>
      <c r="AS18" s="5">
        <f>resultOnlatexABC16Dec24!AD23</f>
        <v>169352.54</v>
      </c>
      <c r="AT18" s="7" t="str">
        <f t="shared" si="16"/>
        <v/>
      </c>
      <c r="AU18" s="7" t="s">
        <v>100</v>
      </c>
      <c r="AV18" s="5">
        <f>resultOnlatexABC16Dec24!AF23</f>
        <v>1092.49</v>
      </c>
      <c r="AW18" s="7" t="s">
        <v>100</v>
      </c>
      <c r="AX18" s="5">
        <f>resultOnlatexABC16Dec24!AH23</f>
        <v>169034.8</v>
      </c>
      <c r="AY18" s="6" t="s">
        <v>102</v>
      </c>
      <c r="AZ18" s="8"/>
    </row>
    <row r="19" spans="2:52">
      <c r="B19" s="4" t="s">
        <v>25</v>
      </c>
      <c r="C19" s="4" t="s">
        <v>100</v>
      </c>
      <c r="D19" s="4" t="str">
        <f t="shared" si="0"/>
        <v>\textbf{</v>
      </c>
      <c r="E19" s="5">
        <f>resultOnlatexABC16Dec24!D24</f>
        <v>256174.84</v>
      </c>
      <c r="F19" s="4" t="str">
        <f t="shared" si="4"/>
        <v>}</v>
      </c>
      <c r="G19" s="4" t="s">
        <v>100</v>
      </c>
      <c r="H19" s="4" t="str">
        <f t="shared" si="5"/>
        <v>\textbf{</v>
      </c>
      <c r="I19" s="5">
        <f>resultOnlatexABC16Dec24!F24</f>
        <v>256684.28</v>
      </c>
      <c r="J19" s="4" t="str">
        <f t="shared" si="6"/>
        <v>}</v>
      </c>
      <c r="K19" s="4" t="s">
        <v>100</v>
      </c>
      <c r="L19" s="5">
        <f>resultOnlatexABC16Dec24!H24</f>
        <v>1603.11</v>
      </c>
      <c r="M19" s="4" t="s">
        <v>100</v>
      </c>
      <c r="N19" s="5">
        <f>resultOnlatexABC16Dec24!J24</f>
        <v>256202</v>
      </c>
      <c r="O19" s="4" t="s">
        <v>100</v>
      </c>
      <c r="P19" s="4" t="str">
        <f t="shared" si="1"/>
        <v/>
      </c>
      <c r="Q19" s="5">
        <f>resultOnlatexABC16Dec24!L24</f>
        <v>260713.3</v>
      </c>
      <c r="R19" s="4" t="str">
        <f t="shared" si="2"/>
        <v/>
      </c>
      <c r="S19" s="4" t="s">
        <v>100</v>
      </c>
      <c r="T19" s="4" t="str">
        <f t="shared" si="7"/>
        <v/>
      </c>
      <c r="U19" s="5">
        <f>resultOnlatexABC16Dec24!N24</f>
        <v>261217.1</v>
      </c>
      <c r="V19" s="4" t="str">
        <f t="shared" si="8"/>
        <v/>
      </c>
      <c r="W19" s="4" t="s">
        <v>100</v>
      </c>
      <c r="X19" s="5">
        <f>resultOnlatexABC16Dec24!P24</f>
        <v>1674.77</v>
      </c>
      <c r="Y19" s="4" t="s">
        <v>100</v>
      </c>
      <c r="Z19" s="5">
        <f>resultOnlatexABC16Dec24!R24</f>
        <v>260810</v>
      </c>
      <c r="AA19" s="4" t="s">
        <v>100</v>
      </c>
      <c r="AB19" s="4" t="str">
        <f t="shared" si="9"/>
        <v/>
      </c>
      <c r="AC19" s="5">
        <f>resultOnlatexABC16Dec24!T24</f>
        <v>258085.3</v>
      </c>
      <c r="AD19" s="4" t="str">
        <f t="shared" si="10"/>
        <v/>
      </c>
      <c r="AE19" s="4" t="s">
        <v>100</v>
      </c>
      <c r="AF19" s="4" t="str">
        <f t="shared" si="11"/>
        <v/>
      </c>
      <c r="AG19" s="5">
        <f>resultOnlatexABC16Dec24!V24</f>
        <v>258651.96</v>
      </c>
      <c r="AH19" s="4" t="str">
        <f t="shared" si="12"/>
        <v/>
      </c>
      <c r="AI19" s="4" t="s">
        <v>100</v>
      </c>
      <c r="AJ19" s="5">
        <f>resultOnlatexABC16Dec24!X24</f>
        <v>540.36</v>
      </c>
      <c r="AK19" s="4" t="s">
        <v>100</v>
      </c>
      <c r="AL19" s="5">
        <f>resultOnlatexABC16Dec24!Z24</f>
        <v>258129.4</v>
      </c>
      <c r="AM19" s="4" t="s">
        <v>100</v>
      </c>
      <c r="AN19" s="4" t="str">
        <f t="shared" si="13"/>
        <v/>
      </c>
      <c r="AO19" s="5">
        <f>resultOnlatexABC16Dec24!AB24</f>
        <v>258085.3</v>
      </c>
      <c r="AP19" s="7" t="str">
        <f t="shared" si="14"/>
        <v/>
      </c>
      <c r="AQ19" s="7" t="s">
        <v>100</v>
      </c>
      <c r="AR19" s="7" t="str">
        <f t="shared" si="15"/>
        <v/>
      </c>
      <c r="AS19" s="5">
        <f>resultOnlatexABC16Dec24!AD24</f>
        <v>258815.87</v>
      </c>
      <c r="AT19" s="7" t="str">
        <f t="shared" si="16"/>
        <v/>
      </c>
      <c r="AU19" s="7" t="s">
        <v>100</v>
      </c>
      <c r="AV19" s="5">
        <f>resultOnlatexABC16Dec24!AF24</f>
        <v>1164.96</v>
      </c>
      <c r="AW19" s="7" t="s">
        <v>100</v>
      </c>
      <c r="AX19" s="5">
        <f>resultOnlatexABC16Dec24!AH24</f>
        <v>258129.4</v>
      </c>
      <c r="AY19" s="6" t="s">
        <v>102</v>
      </c>
      <c r="AZ19" s="8"/>
    </row>
    <row r="20" spans="2:52">
      <c r="B20" s="4" t="s">
        <v>26</v>
      </c>
      <c r="C20" s="4" t="s">
        <v>100</v>
      </c>
      <c r="D20" s="4" t="str">
        <f t="shared" si="0"/>
        <v>\textbf{</v>
      </c>
      <c r="E20" s="5">
        <f>resultOnlatexABC16Dec24!D25</f>
        <v>258497.09</v>
      </c>
      <c r="F20" s="4" t="str">
        <f t="shared" si="4"/>
        <v>}</v>
      </c>
      <c r="G20" s="4" t="s">
        <v>100</v>
      </c>
      <c r="H20" s="4" t="str">
        <f t="shared" si="5"/>
        <v>\textbf{</v>
      </c>
      <c r="I20" s="5">
        <f>resultOnlatexABC16Dec24!F25</f>
        <v>258632.3</v>
      </c>
      <c r="J20" s="4" t="str">
        <f t="shared" si="6"/>
        <v>}</v>
      </c>
      <c r="K20" s="4" t="s">
        <v>100</v>
      </c>
      <c r="L20" s="5">
        <f>resultOnlatexABC16Dec24!H25</f>
        <v>1644.68</v>
      </c>
      <c r="M20" s="4" t="s">
        <v>100</v>
      </c>
      <c r="N20" s="5">
        <f>resultOnlatexABC16Dec24!J25</f>
        <v>258447.2</v>
      </c>
      <c r="O20" s="4" t="s">
        <v>100</v>
      </c>
      <c r="P20" s="4" t="str">
        <f t="shared" si="1"/>
        <v/>
      </c>
      <c r="Q20" s="5">
        <f>resultOnlatexABC16Dec24!L25</f>
        <v>263020.79999999999</v>
      </c>
      <c r="R20" s="4" t="str">
        <f t="shared" si="2"/>
        <v/>
      </c>
      <c r="S20" s="4" t="s">
        <v>100</v>
      </c>
      <c r="T20" s="4" t="str">
        <f t="shared" si="7"/>
        <v/>
      </c>
      <c r="U20" s="5">
        <f>resultOnlatexABC16Dec24!N25</f>
        <v>263635.56</v>
      </c>
      <c r="V20" s="4" t="str">
        <f t="shared" si="8"/>
        <v/>
      </c>
      <c r="W20" s="4" t="s">
        <v>100</v>
      </c>
      <c r="X20" s="5">
        <f>resultOnlatexABC16Dec24!P25</f>
        <v>1680.58</v>
      </c>
      <c r="Y20" s="4" t="s">
        <v>100</v>
      </c>
      <c r="Z20" s="5">
        <f>resultOnlatexABC16Dec24!R25</f>
        <v>263001</v>
      </c>
      <c r="AA20" s="4" t="s">
        <v>100</v>
      </c>
      <c r="AB20" s="4" t="str">
        <f t="shared" si="9"/>
        <v/>
      </c>
      <c r="AC20" s="5">
        <f>resultOnlatexABC16Dec24!T25</f>
        <v>260783.5</v>
      </c>
      <c r="AD20" s="4" t="str">
        <f t="shared" si="10"/>
        <v/>
      </c>
      <c r="AE20" s="4" t="s">
        <v>100</v>
      </c>
      <c r="AF20" s="4" t="str">
        <f t="shared" si="11"/>
        <v/>
      </c>
      <c r="AG20" s="5">
        <f>resultOnlatexABC16Dec24!V25</f>
        <v>261486.01</v>
      </c>
      <c r="AH20" s="4" t="str">
        <f t="shared" si="12"/>
        <v/>
      </c>
      <c r="AI20" s="4" t="s">
        <v>100</v>
      </c>
      <c r="AJ20" s="5">
        <f>resultOnlatexABC16Dec24!X25</f>
        <v>1148.46</v>
      </c>
      <c r="AK20" s="4" t="s">
        <v>100</v>
      </c>
      <c r="AL20" s="5">
        <f>resultOnlatexABC16Dec24!Z25</f>
        <v>260765.7</v>
      </c>
      <c r="AM20" s="4" t="s">
        <v>100</v>
      </c>
      <c r="AN20" s="4" t="str">
        <f t="shared" si="13"/>
        <v/>
      </c>
      <c r="AO20" s="5">
        <f>resultOnlatexABC16Dec24!AB25</f>
        <v>260783.5</v>
      </c>
      <c r="AP20" s="7" t="str">
        <f t="shared" si="14"/>
        <v/>
      </c>
      <c r="AQ20" s="7" t="s">
        <v>100</v>
      </c>
      <c r="AR20" s="7" t="str">
        <f t="shared" si="15"/>
        <v/>
      </c>
      <c r="AS20" s="5">
        <f>resultOnlatexABC16Dec24!AD25</f>
        <v>261695.93</v>
      </c>
      <c r="AT20" s="7" t="str">
        <f t="shared" si="16"/>
        <v/>
      </c>
      <c r="AU20" s="7" t="s">
        <v>100</v>
      </c>
      <c r="AV20" s="5">
        <f>resultOnlatexABC16Dec24!AF25</f>
        <v>1036</v>
      </c>
      <c r="AW20" s="7" t="s">
        <v>100</v>
      </c>
      <c r="AX20" s="5">
        <f>resultOnlatexABC16Dec24!AH25</f>
        <v>260765.7</v>
      </c>
      <c r="AY20" s="6" t="s">
        <v>102</v>
      </c>
      <c r="AZ20" s="8"/>
    </row>
    <row r="21" spans="2:52">
      <c r="B21" s="4" t="s">
        <v>27</v>
      </c>
      <c r="C21" s="4" t="s">
        <v>100</v>
      </c>
      <c r="D21" s="4" t="str">
        <f t="shared" si="0"/>
        <v>\textbf{</v>
      </c>
      <c r="E21" s="5">
        <f>resultOnlatexABC16Dec24!D26</f>
        <v>554099.42000000004</v>
      </c>
      <c r="F21" s="4" t="str">
        <f t="shared" si="4"/>
        <v>}</v>
      </c>
      <c r="G21" s="4" t="s">
        <v>100</v>
      </c>
      <c r="H21" s="4" t="str">
        <f t="shared" si="5"/>
        <v>\textbf{</v>
      </c>
      <c r="I21" s="5">
        <f>resultOnlatexABC16Dec24!F26</f>
        <v>554848.92000000004</v>
      </c>
      <c r="J21" s="4" t="str">
        <f t="shared" si="6"/>
        <v>}</v>
      </c>
      <c r="K21" s="4" t="s">
        <v>100</v>
      </c>
      <c r="L21" s="5">
        <f>resultOnlatexABC16Dec24!H26</f>
        <v>1300.46</v>
      </c>
      <c r="M21" s="4" t="s">
        <v>100</v>
      </c>
      <c r="N21" s="5">
        <f>resultOnlatexABC16Dec24!J26</f>
        <v>554057.4</v>
      </c>
      <c r="O21" s="4" t="s">
        <v>100</v>
      </c>
      <c r="P21" s="4" t="str">
        <f t="shared" si="1"/>
        <v/>
      </c>
      <c r="Q21" s="5">
        <f>resultOnlatexABC16Dec24!L26</f>
        <v>560289.4</v>
      </c>
      <c r="R21" s="4" t="str">
        <f t="shared" si="2"/>
        <v/>
      </c>
      <c r="S21" s="4" t="s">
        <v>100</v>
      </c>
      <c r="T21" s="4" t="str">
        <f t="shared" si="7"/>
        <v/>
      </c>
      <c r="U21" s="5">
        <f>resultOnlatexABC16Dec24!N26</f>
        <v>561870.42000000004</v>
      </c>
      <c r="V21" s="4" t="str">
        <f t="shared" si="8"/>
        <v/>
      </c>
      <c r="W21" s="4" t="s">
        <v>100</v>
      </c>
      <c r="X21" s="5">
        <f>resultOnlatexABC16Dec24!P26</f>
        <v>1216.8</v>
      </c>
      <c r="Y21" s="4" t="s">
        <v>100</v>
      </c>
      <c r="Z21" s="5">
        <f>resultOnlatexABC16Dec24!R26</f>
        <v>560090.5</v>
      </c>
      <c r="AA21" s="4" t="s">
        <v>100</v>
      </c>
      <c r="AB21" s="4" t="str">
        <f t="shared" si="9"/>
        <v/>
      </c>
      <c r="AC21" s="5">
        <f>resultOnlatexABC16Dec24!T26</f>
        <v>555576.9</v>
      </c>
      <c r="AD21" s="4" t="str">
        <f t="shared" si="10"/>
        <v/>
      </c>
      <c r="AE21" s="4" t="s">
        <v>100</v>
      </c>
      <c r="AF21" s="4" t="str">
        <f t="shared" si="11"/>
        <v/>
      </c>
      <c r="AG21" s="5">
        <f>resultOnlatexABC16Dec24!V26</f>
        <v>555858.18000000005</v>
      </c>
      <c r="AH21" s="4" t="str">
        <f t="shared" si="12"/>
        <v/>
      </c>
      <c r="AI21" s="4" t="s">
        <v>100</v>
      </c>
      <c r="AJ21" s="5">
        <f>resultOnlatexABC16Dec24!X26</f>
        <v>1258.31</v>
      </c>
      <c r="AK21" s="4" t="s">
        <v>100</v>
      </c>
      <c r="AL21" s="5">
        <f>resultOnlatexABC16Dec24!Z26</f>
        <v>555483.19999999995</v>
      </c>
      <c r="AM21" s="4" t="s">
        <v>100</v>
      </c>
      <c r="AN21" s="4" t="str">
        <f t="shared" si="13"/>
        <v/>
      </c>
      <c r="AO21" s="5">
        <f>resultOnlatexABC16Dec24!AB26</f>
        <v>555576.9</v>
      </c>
      <c r="AP21" s="7" t="str">
        <f t="shared" si="14"/>
        <v/>
      </c>
      <c r="AQ21" s="7" t="s">
        <v>100</v>
      </c>
      <c r="AR21" s="7" t="str">
        <f t="shared" si="15"/>
        <v/>
      </c>
      <c r="AS21" s="5">
        <f>resultOnlatexABC16Dec24!AD26</f>
        <v>556354.18000000005</v>
      </c>
      <c r="AT21" s="7" t="str">
        <f t="shared" si="16"/>
        <v/>
      </c>
      <c r="AU21" s="7" t="s">
        <v>100</v>
      </c>
      <c r="AV21" s="5">
        <f>resultOnlatexABC16Dec24!AF26</f>
        <v>1403.34</v>
      </c>
      <c r="AW21" s="7" t="s">
        <v>100</v>
      </c>
      <c r="AX21" s="5">
        <f>resultOnlatexABC16Dec24!AH26</f>
        <v>555483.19999999995</v>
      </c>
      <c r="AY21" s="6" t="s">
        <v>102</v>
      </c>
      <c r="AZ21" s="8"/>
    </row>
    <row r="22" spans="2:52">
      <c r="B22" s="4" t="s">
        <v>28</v>
      </c>
      <c r="C22" s="4" t="s">
        <v>100</v>
      </c>
      <c r="D22" s="4" t="str">
        <f t="shared" si="0"/>
        <v>\textbf{</v>
      </c>
      <c r="E22" s="5">
        <f>resultOnlatexABC16Dec24!D27</f>
        <v>373005.98</v>
      </c>
      <c r="F22" s="4" t="str">
        <f t="shared" si="4"/>
        <v>}</v>
      </c>
      <c r="G22" s="4" t="s">
        <v>100</v>
      </c>
      <c r="H22" s="4" t="str">
        <f t="shared" si="5"/>
        <v>\textbf{</v>
      </c>
      <c r="I22" s="5">
        <f>resultOnlatexABC16Dec24!F27</f>
        <v>374262.99</v>
      </c>
      <c r="J22" s="4" t="str">
        <f t="shared" si="6"/>
        <v>}</v>
      </c>
      <c r="K22" s="4" t="s">
        <v>100</v>
      </c>
      <c r="L22" s="5">
        <f>resultOnlatexABC16Dec24!H27</f>
        <v>1365.15</v>
      </c>
      <c r="M22" s="4" t="s">
        <v>100</v>
      </c>
      <c r="N22" s="5">
        <f>resultOnlatexABC16Dec24!J27</f>
        <v>373042.9</v>
      </c>
      <c r="O22" s="4" t="s">
        <v>100</v>
      </c>
      <c r="P22" s="4" t="str">
        <f t="shared" si="1"/>
        <v/>
      </c>
      <c r="Q22" s="5">
        <f>resultOnlatexABC16Dec24!L27</f>
        <v>383192.8</v>
      </c>
      <c r="R22" s="4" t="str">
        <f t="shared" si="2"/>
        <v/>
      </c>
      <c r="S22" s="4" t="s">
        <v>100</v>
      </c>
      <c r="T22" s="4" t="str">
        <f t="shared" si="7"/>
        <v/>
      </c>
      <c r="U22" s="5">
        <f>resultOnlatexABC16Dec24!N27</f>
        <v>384059.22</v>
      </c>
      <c r="V22" s="4" t="str">
        <f t="shared" si="8"/>
        <v/>
      </c>
      <c r="W22" s="4" t="s">
        <v>100</v>
      </c>
      <c r="X22" s="5">
        <f>resultOnlatexABC16Dec24!P27</f>
        <v>1112.27</v>
      </c>
      <c r="Y22" s="4" t="s">
        <v>100</v>
      </c>
      <c r="Z22" s="5">
        <f>resultOnlatexABC16Dec24!R27</f>
        <v>383124.1</v>
      </c>
      <c r="AA22" s="4" t="s">
        <v>100</v>
      </c>
      <c r="AB22" s="4" t="str">
        <f t="shared" si="9"/>
        <v/>
      </c>
      <c r="AC22" s="5">
        <f>resultOnlatexABC16Dec24!T27</f>
        <v>376213.5</v>
      </c>
      <c r="AD22" s="4" t="str">
        <f t="shared" si="10"/>
        <v/>
      </c>
      <c r="AE22" s="4" t="s">
        <v>100</v>
      </c>
      <c r="AF22" s="4" t="str">
        <f t="shared" si="11"/>
        <v/>
      </c>
      <c r="AG22" s="5">
        <f>resultOnlatexABC16Dec24!V27</f>
        <v>377380.94</v>
      </c>
      <c r="AH22" s="4" t="str">
        <f t="shared" si="12"/>
        <v/>
      </c>
      <c r="AI22" s="4" t="s">
        <v>100</v>
      </c>
      <c r="AJ22" s="5">
        <f>resultOnlatexABC16Dec24!X27</f>
        <v>1468.63</v>
      </c>
      <c r="AK22" s="4" t="s">
        <v>100</v>
      </c>
      <c r="AL22" s="5">
        <f>resultOnlatexABC16Dec24!Z27</f>
        <v>376286</v>
      </c>
      <c r="AM22" s="4" t="s">
        <v>100</v>
      </c>
      <c r="AN22" s="4" t="str">
        <f t="shared" si="13"/>
        <v/>
      </c>
      <c r="AO22" s="5">
        <f>resultOnlatexABC16Dec24!AB27</f>
        <v>377562.9</v>
      </c>
      <c r="AP22" s="7" t="str">
        <f t="shared" si="14"/>
        <v/>
      </c>
      <c r="AQ22" s="7" t="s">
        <v>100</v>
      </c>
      <c r="AR22" s="7" t="str">
        <f t="shared" si="15"/>
        <v/>
      </c>
      <c r="AS22" s="5">
        <f>resultOnlatexABC16Dec24!AD27</f>
        <v>378674.32</v>
      </c>
      <c r="AT22" s="7" t="str">
        <f t="shared" si="16"/>
        <v/>
      </c>
      <c r="AU22" s="7" t="s">
        <v>100</v>
      </c>
      <c r="AV22" s="5">
        <f>resultOnlatexABC16Dec24!AF27</f>
        <v>1921.08</v>
      </c>
      <c r="AW22" s="7" t="s">
        <v>100</v>
      </c>
      <c r="AX22" s="5">
        <f>resultOnlatexABC16Dec24!AH27</f>
        <v>377586.2</v>
      </c>
      <c r="AY22" s="6" t="s">
        <v>102</v>
      </c>
      <c r="AZ22" s="8"/>
    </row>
    <row r="23" spans="2:52">
      <c r="B23" s="4" t="s">
        <v>29</v>
      </c>
      <c r="C23" s="4" t="s">
        <v>100</v>
      </c>
      <c r="D23" s="4" t="str">
        <f t="shared" si="0"/>
        <v>\textbf{</v>
      </c>
      <c r="E23" s="5">
        <f>resultOnlatexABC16Dec24!D28</f>
        <v>773276.74</v>
      </c>
      <c r="F23" s="4" t="str">
        <f t="shared" si="4"/>
        <v>}</v>
      </c>
      <c r="G23" s="4" t="s">
        <v>100</v>
      </c>
      <c r="H23" s="4" t="str">
        <f t="shared" si="5"/>
        <v>\textbf{</v>
      </c>
      <c r="I23" s="5">
        <f>resultOnlatexABC16Dec24!F28</f>
        <v>774292.47</v>
      </c>
      <c r="J23" s="4" t="str">
        <f t="shared" si="6"/>
        <v>}</v>
      </c>
      <c r="K23" s="4" t="s">
        <v>100</v>
      </c>
      <c r="L23" s="5">
        <f>resultOnlatexABC16Dec24!H28</f>
        <v>620.95000000000005</v>
      </c>
      <c r="M23" s="4" t="s">
        <v>100</v>
      </c>
      <c r="N23" s="5">
        <f>resultOnlatexABC16Dec24!J28</f>
        <v>773151.4</v>
      </c>
      <c r="O23" s="4" t="s">
        <v>100</v>
      </c>
      <c r="P23" s="4" t="str">
        <f t="shared" si="1"/>
        <v/>
      </c>
      <c r="Q23" s="5">
        <f>resultOnlatexABC16Dec24!L28</f>
        <v>783806.3</v>
      </c>
      <c r="R23" s="4" t="str">
        <f t="shared" si="2"/>
        <v/>
      </c>
      <c r="S23" s="4" t="s">
        <v>100</v>
      </c>
      <c r="T23" s="4" t="str">
        <f t="shared" si="7"/>
        <v/>
      </c>
      <c r="U23" s="5">
        <f>resultOnlatexABC16Dec24!N28</f>
        <v>785425.31</v>
      </c>
      <c r="V23" s="4" t="str">
        <f t="shared" si="8"/>
        <v/>
      </c>
      <c r="W23" s="4" t="s">
        <v>100</v>
      </c>
      <c r="X23" s="5">
        <f>resultOnlatexABC16Dec24!P28</f>
        <v>895.39</v>
      </c>
      <c r="Y23" s="4" t="s">
        <v>100</v>
      </c>
      <c r="Z23" s="5">
        <f>resultOnlatexABC16Dec24!R28</f>
        <v>783624.9</v>
      </c>
      <c r="AA23" s="4" t="s">
        <v>100</v>
      </c>
      <c r="AB23" s="4" t="str">
        <f t="shared" si="9"/>
        <v/>
      </c>
      <c r="AC23" s="5">
        <f>resultOnlatexABC16Dec24!T28</f>
        <v>775503.2</v>
      </c>
      <c r="AD23" s="4" t="str">
        <f t="shared" si="10"/>
        <v/>
      </c>
      <c r="AE23" s="4" t="s">
        <v>100</v>
      </c>
      <c r="AF23" s="4" t="str">
        <f t="shared" si="11"/>
        <v/>
      </c>
      <c r="AG23" s="5">
        <f>resultOnlatexABC16Dec24!V28</f>
        <v>777986.22</v>
      </c>
      <c r="AH23" s="4" t="str">
        <f t="shared" si="12"/>
        <v/>
      </c>
      <c r="AI23" s="4" t="s">
        <v>100</v>
      </c>
      <c r="AJ23" s="5">
        <f>resultOnlatexABC16Dec24!X28</f>
        <v>1945.98</v>
      </c>
      <c r="AK23" s="4" t="s">
        <v>100</v>
      </c>
      <c r="AL23" s="5">
        <f>resultOnlatexABC16Dec24!Z28</f>
        <v>775483.1</v>
      </c>
      <c r="AM23" s="4" t="s">
        <v>100</v>
      </c>
      <c r="AN23" s="4" t="str">
        <f t="shared" si="13"/>
        <v/>
      </c>
      <c r="AO23" s="5">
        <f>resultOnlatexABC16Dec24!AB28</f>
        <v>776606.7</v>
      </c>
      <c r="AP23" s="7" t="str">
        <f t="shared" si="14"/>
        <v/>
      </c>
      <c r="AQ23" s="7" t="s">
        <v>100</v>
      </c>
      <c r="AR23" s="7" t="str">
        <f t="shared" si="15"/>
        <v/>
      </c>
      <c r="AS23" s="5">
        <f>resultOnlatexABC16Dec24!AD28</f>
        <v>780047.99</v>
      </c>
      <c r="AT23" s="7" t="str">
        <f t="shared" si="16"/>
        <v/>
      </c>
      <c r="AU23" s="7" t="s">
        <v>100</v>
      </c>
      <c r="AV23" s="5">
        <f>resultOnlatexABC16Dec24!AF28</f>
        <v>2469.8200000000002</v>
      </c>
      <c r="AW23" s="7" t="s">
        <v>100</v>
      </c>
      <c r="AX23" s="5">
        <f>resultOnlatexABC16Dec24!AH28</f>
        <v>776564.6</v>
      </c>
      <c r="AY23" s="6" t="s">
        <v>102</v>
      </c>
      <c r="AZ23" s="8"/>
    </row>
    <row r="24" spans="2:52">
      <c r="B24" s="4" t="s">
        <v>30</v>
      </c>
      <c r="C24" s="4" t="s">
        <v>100</v>
      </c>
      <c r="D24" s="4" t="str">
        <f t="shared" si="0"/>
        <v>\textbf{</v>
      </c>
      <c r="E24" s="5">
        <f>resultOnlatexABC16Dec24!D29</f>
        <v>749159.93</v>
      </c>
      <c r="F24" s="4" t="str">
        <f t="shared" si="4"/>
        <v>}</v>
      </c>
      <c r="G24" s="4" t="s">
        <v>100</v>
      </c>
      <c r="H24" s="4" t="str">
        <f t="shared" si="5"/>
        <v>\textbf{</v>
      </c>
      <c r="I24" s="5">
        <f>resultOnlatexABC16Dec24!F29</f>
        <v>751312.57</v>
      </c>
      <c r="J24" s="4" t="str">
        <f t="shared" si="6"/>
        <v>}</v>
      </c>
      <c r="K24" s="4" t="s">
        <v>100</v>
      </c>
      <c r="L24" s="5">
        <f>resultOnlatexABC16Dec24!H29</f>
        <v>1347.21</v>
      </c>
      <c r="M24" s="4" t="s">
        <v>100</v>
      </c>
      <c r="N24" s="5">
        <f>resultOnlatexABC16Dec24!J29</f>
        <v>749120</v>
      </c>
      <c r="O24" s="4" t="s">
        <v>100</v>
      </c>
      <c r="P24" s="4" t="str">
        <f t="shared" si="1"/>
        <v/>
      </c>
      <c r="Q24" s="5">
        <f>resultOnlatexABC16Dec24!L29</f>
        <v>762277.7</v>
      </c>
      <c r="R24" s="4" t="str">
        <f t="shared" si="2"/>
        <v/>
      </c>
      <c r="S24" s="4" t="s">
        <v>100</v>
      </c>
      <c r="T24" s="4" t="str">
        <f t="shared" si="7"/>
        <v/>
      </c>
      <c r="U24" s="5">
        <f>resultOnlatexABC16Dec24!N29</f>
        <v>764966.46</v>
      </c>
      <c r="V24" s="4" t="str">
        <f t="shared" si="8"/>
        <v/>
      </c>
      <c r="W24" s="4" t="s">
        <v>100</v>
      </c>
      <c r="X24" s="5">
        <f>resultOnlatexABC16Dec24!P29</f>
        <v>1076.23</v>
      </c>
      <c r="Y24" s="4" t="s">
        <v>100</v>
      </c>
      <c r="Z24" s="5">
        <f>resultOnlatexABC16Dec24!R29</f>
        <v>762309.2</v>
      </c>
      <c r="AA24" s="4" t="s">
        <v>100</v>
      </c>
      <c r="AB24" s="4" t="str">
        <f t="shared" si="9"/>
        <v/>
      </c>
      <c r="AC24" s="5">
        <f>resultOnlatexABC16Dec24!T29</f>
        <v>755112.7</v>
      </c>
      <c r="AD24" s="4" t="str">
        <f t="shared" si="10"/>
        <v/>
      </c>
      <c r="AE24" s="4" t="s">
        <v>100</v>
      </c>
      <c r="AF24" s="4" t="str">
        <f t="shared" si="11"/>
        <v/>
      </c>
      <c r="AG24" s="5">
        <f>resultOnlatexABC16Dec24!V29</f>
        <v>762027.54</v>
      </c>
      <c r="AH24" s="4" t="str">
        <f t="shared" si="12"/>
        <v/>
      </c>
      <c r="AI24" s="4" t="s">
        <v>100</v>
      </c>
      <c r="AJ24" s="5">
        <f>resultOnlatexABC16Dec24!X29</f>
        <v>2575.5300000000002</v>
      </c>
      <c r="AK24" s="4" t="s">
        <v>100</v>
      </c>
      <c r="AL24" s="5">
        <f>resultOnlatexABC16Dec24!Z29</f>
        <v>755144.3</v>
      </c>
      <c r="AM24" s="4" t="s">
        <v>100</v>
      </c>
      <c r="AN24" s="4" t="str">
        <f t="shared" si="13"/>
        <v/>
      </c>
      <c r="AO24" s="5">
        <f>resultOnlatexABC16Dec24!AB29</f>
        <v>765069.7</v>
      </c>
      <c r="AP24" s="7" t="str">
        <f t="shared" si="14"/>
        <v/>
      </c>
      <c r="AQ24" s="7" t="s">
        <v>100</v>
      </c>
      <c r="AR24" s="7" t="str">
        <f t="shared" si="15"/>
        <v/>
      </c>
      <c r="AS24" s="5">
        <f>resultOnlatexABC16Dec24!AD29</f>
        <v>768359.59</v>
      </c>
      <c r="AT24" s="7" t="str">
        <f t="shared" si="16"/>
        <v/>
      </c>
      <c r="AU24" s="7" t="s">
        <v>100</v>
      </c>
      <c r="AV24" s="5">
        <f>resultOnlatexABC16Dec24!AF29</f>
        <v>3336.57</v>
      </c>
      <c r="AW24" s="7" t="s">
        <v>100</v>
      </c>
      <c r="AX24" s="5">
        <f>resultOnlatexABC16Dec24!AH29</f>
        <v>765039.5</v>
      </c>
      <c r="AY24" s="6" t="s">
        <v>102</v>
      </c>
      <c r="AZ24" s="8"/>
    </row>
    <row r="25" spans="2:52">
      <c r="E25" s="5"/>
      <c r="I25" s="5"/>
      <c r="L25" s="5"/>
      <c r="N25" s="5"/>
      <c r="Q25" s="5"/>
      <c r="U25" s="5"/>
      <c r="X25" s="5"/>
      <c r="Z25" s="5"/>
      <c r="AC25" s="5"/>
      <c r="AG25" s="5"/>
      <c r="AJ25" s="5"/>
      <c r="AL25" s="5"/>
      <c r="AO25" s="5"/>
      <c r="AP25" s="7"/>
      <c r="AQ25" s="7"/>
      <c r="AR25" s="7"/>
      <c r="AS25" s="5"/>
      <c r="AT25" s="7"/>
      <c r="AU25" s="7"/>
      <c r="AV25" s="5"/>
      <c r="AW25" s="7"/>
      <c r="AX25" s="5"/>
      <c r="AY25" s="6"/>
      <c r="AZ25" s="8"/>
    </row>
    <row r="26" spans="2:52">
      <c r="B26" s="4" t="s">
        <v>31</v>
      </c>
      <c r="C26" s="4" t="s">
        <v>100</v>
      </c>
      <c r="D26" s="4" t="str">
        <f t="shared" ref="D26:D49" si="17">IF(E26=MIN(E26,Q26,AC26,AO26),"\textbf{","")</f>
        <v>\textbf{</v>
      </c>
      <c r="E26" s="5">
        <f>resultOnlatexABC16Dec24!D31</f>
        <v>17588.009999999998</v>
      </c>
      <c r="F26" s="4" t="str">
        <f t="shared" si="4"/>
        <v>}</v>
      </c>
      <c r="G26" s="4" t="s">
        <v>100</v>
      </c>
      <c r="H26" s="4" t="str">
        <f t="shared" si="5"/>
        <v>\textbf{</v>
      </c>
      <c r="I26" s="5">
        <f>resultOnlatexABC16Dec24!F31</f>
        <v>17588.009999999998</v>
      </c>
      <c r="J26" s="4" t="str">
        <f t="shared" si="6"/>
        <v>}</v>
      </c>
      <c r="K26" s="4" t="s">
        <v>100</v>
      </c>
      <c r="L26" s="5">
        <f>resultOnlatexABC16Dec24!H31</f>
        <v>24.11</v>
      </c>
      <c r="M26" s="4" t="s">
        <v>100</v>
      </c>
      <c r="N26" s="5">
        <f>resultOnlatexABC16Dec24!J31</f>
        <v>17568.7</v>
      </c>
      <c r="O26" s="4" t="s">
        <v>100</v>
      </c>
      <c r="P26" s="4" t="str">
        <f t="shared" ref="P26:P49" si="18">IF(Q26=MIN(E26,Q26,AC26,AO26),"\textbf{","")</f>
        <v/>
      </c>
      <c r="Q26" s="5">
        <f>resultOnlatexABC16Dec24!L31</f>
        <v>18470.400000000001</v>
      </c>
      <c r="R26" s="4" t="str">
        <f t="shared" ref="R26:R49" si="19">IF(Q26=MIN(E26,Q26,AC26,AO26),"}","")</f>
        <v/>
      </c>
      <c r="S26" s="4" t="s">
        <v>100</v>
      </c>
      <c r="T26" s="4" t="str">
        <f t="shared" si="7"/>
        <v/>
      </c>
      <c r="U26" s="5">
        <f>resultOnlatexABC16Dec24!N31</f>
        <v>18471.23</v>
      </c>
      <c r="V26" s="4" t="str">
        <f t="shared" ref="V26:V74" si="20">IF(U26=MIN(I26,U26,AG26,AS26),"}","")</f>
        <v/>
      </c>
      <c r="W26" s="4" t="s">
        <v>100</v>
      </c>
      <c r="X26" s="5">
        <f>resultOnlatexABC16Dec24!P31</f>
        <v>3.7</v>
      </c>
      <c r="Y26" s="4" t="s">
        <v>100</v>
      </c>
      <c r="Z26" s="5">
        <f>resultOnlatexABC16Dec24!R31</f>
        <v>18432.5</v>
      </c>
      <c r="AA26" s="4" t="s">
        <v>100</v>
      </c>
      <c r="AB26" s="4" t="str">
        <f t="shared" si="9"/>
        <v/>
      </c>
      <c r="AC26" s="5">
        <f>resultOnlatexABC16Dec24!T31</f>
        <v>17588.5</v>
      </c>
      <c r="AD26" s="4" t="str">
        <f t="shared" ref="AD26" si="21">IF(AC26=MIN(E26,Q26,AC26,AO26),"}","")</f>
        <v/>
      </c>
      <c r="AE26" s="4" t="s">
        <v>100</v>
      </c>
      <c r="AF26" s="4" t="str">
        <f t="shared" ref="AF26" si="22">IF(AG26=MIN(I26,U26,AG26,AS26),"\textbf{","")</f>
        <v/>
      </c>
      <c r="AG26" s="5">
        <f>resultOnlatexABC16Dec24!V31</f>
        <v>17588.52</v>
      </c>
      <c r="AH26" s="4" t="str">
        <f t="shared" ref="AH26" si="23">IF(AG26=MIN(I26,U26,AG26,AS26),"}","")</f>
        <v/>
      </c>
      <c r="AI26" s="4" t="s">
        <v>100</v>
      </c>
      <c r="AJ26" s="5">
        <f>resultOnlatexABC16Dec24!X31</f>
        <v>38.67</v>
      </c>
      <c r="AK26" s="4" t="s">
        <v>100</v>
      </c>
      <c r="AL26" s="5">
        <f>resultOnlatexABC16Dec24!Z31</f>
        <v>17567.900000000001</v>
      </c>
      <c r="AM26" s="4" t="s">
        <v>100</v>
      </c>
      <c r="AN26" s="4" t="str">
        <f t="shared" si="13"/>
        <v/>
      </c>
      <c r="AO26" s="5">
        <f>resultOnlatexABC16Dec24!AB31</f>
        <v>17588.5</v>
      </c>
      <c r="AP26" s="7" t="str">
        <f t="shared" ref="AP26:AP27" si="24">IF(AO26=MIN(E26,Q26,AC26,AO26),"}","")</f>
        <v/>
      </c>
      <c r="AQ26" s="7" t="s">
        <v>100</v>
      </c>
      <c r="AR26" s="7" t="str">
        <f t="shared" ref="AR26:AR27" si="25">IF(AS26=MIN(I26,U26,AG26,AS26),"\textbf{","")</f>
        <v/>
      </c>
      <c r="AS26" s="5">
        <f>resultOnlatexABC16Dec24!AD31</f>
        <v>17588.52</v>
      </c>
      <c r="AT26" s="7" t="str">
        <f t="shared" ref="AT26:AT27" si="26">IF(AS26=MIN(I26,U26,AG26,AS26),"}","")</f>
        <v/>
      </c>
      <c r="AU26" s="7" t="s">
        <v>100</v>
      </c>
      <c r="AV26" s="5">
        <f>resultOnlatexABC16Dec24!AF31</f>
        <v>68.03</v>
      </c>
      <c r="AW26" s="7" t="s">
        <v>100</v>
      </c>
      <c r="AX26" s="5">
        <f>resultOnlatexABC16Dec24!AH31</f>
        <v>17567.900000000001</v>
      </c>
      <c r="AY26" s="6" t="s">
        <v>102</v>
      </c>
      <c r="AZ26" s="8"/>
    </row>
    <row r="27" spans="2:52">
      <c r="B27" s="4" t="s">
        <v>32</v>
      </c>
      <c r="C27" s="4" t="s">
        <v>100</v>
      </c>
      <c r="D27" s="4" t="str">
        <f t="shared" si="17"/>
        <v>\textbf{</v>
      </c>
      <c r="E27" s="5">
        <f>resultOnlatexABC16Dec24!D32</f>
        <v>24588.2</v>
      </c>
      <c r="F27" s="4" t="str">
        <f t="shared" si="4"/>
        <v>}</v>
      </c>
      <c r="G27" s="4" t="s">
        <v>100</v>
      </c>
      <c r="H27" s="4" t="str">
        <f t="shared" si="5"/>
        <v>\textbf{</v>
      </c>
      <c r="I27" s="5">
        <f>resultOnlatexABC16Dec24!F32</f>
        <v>24588.2</v>
      </c>
      <c r="J27" s="4" t="str">
        <f t="shared" si="6"/>
        <v>}</v>
      </c>
      <c r="K27" s="4" t="s">
        <v>100</v>
      </c>
      <c r="L27" s="5">
        <f>resultOnlatexABC16Dec24!H32</f>
        <v>5.91</v>
      </c>
      <c r="M27" s="4" t="s">
        <v>100</v>
      </c>
      <c r="N27" s="5">
        <f>resultOnlatexABC16Dec24!J32</f>
        <v>24549.1</v>
      </c>
      <c r="O27" s="4" t="s">
        <v>100</v>
      </c>
      <c r="P27" s="4" t="str">
        <f t="shared" si="18"/>
        <v/>
      </c>
      <c r="Q27" s="5">
        <f>resultOnlatexABC16Dec24!L32</f>
        <v>25312.799999999999</v>
      </c>
      <c r="R27" s="4" t="str">
        <f t="shared" si="19"/>
        <v/>
      </c>
      <c r="S27" s="4" t="s">
        <v>100</v>
      </c>
      <c r="T27" s="4" t="str">
        <f t="shared" si="7"/>
        <v/>
      </c>
      <c r="U27" s="5">
        <f>resultOnlatexABC16Dec24!N32</f>
        <v>25312.79</v>
      </c>
      <c r="V27" s="4" t="str">
        <f t="shared" si="20"/>
        <v/>
      </c>
      <c r="W27" s="4" t="s">
        <v>100</v>
      </c>
      <c r="X27" s="5">
        <f>resultOnlatexABC16Dec24!P32</f>
        <v>0.85</v>
      </c>
      <c r="Y27" s="4" t="s">
        <v>100</v>
      </c>
      <c r="Z27" s="5">
        <f>resultOnlatexABC16Dec24!R32</f>
        <v>25251.5</v>
      </c>
      <c r="AA27" s="4" t="s">
        <v>100</v>
      </c>
      <c r="AB27" s="4" t="str">
        <f t="shared" si="9"/>
        <v/>
      </c>
      <c r="AC27" s="5">
        <f>resultOnlatexABC16Dec24!T32</f>
        <v>24592.1</v>
      </c>
      <c r="AD27" s="4" t="str">
        <f>IF(AC27=MIN(E27,Q27,AC27,AO27),"}","")</f>
        <v/>
      </c>
      <c r="AE27" s="4" t="s">
        <v>100</v>
      </c>
      <c r="AF27" s="4" t="str">
        <f>IF(AG27=MIN(I27,U27,AG27,AS27),"\textbf{","")</f>
        <v/>
      </c>
      <c r="AG27" s="5">
        <f>resultOnlatexABC16Dec24!V32</f>
        <v>24592.62</v>
      </c>
      <c r="AH27" s="4" t="str">
        <f>IF(AG27=MIN(I27,U27,AG27,AS27),"}","")</f>
        <v/>
      </c>
      <c r="AI27" s="4" t="s">
        <v>100</v>
      </c>
      <c r="AJ27" s="5">
        <f>resultOnlatexABC16Dec24!X32</f>
        <v>19.53</v>
      </c>
      <c r="AK27" s="4" t="s">
        <v>100</v>
      </c>
      <c r="AL27" s="5">
        <f>resultOnlatexABC16Dec24!Z32</f>
        <v>24554.799999999999</v>
      </c>
      <c r="AM27" s="4" t="s">
        <v>100</v>
      </c>
      <c r="AN27" s="4" t="str">
        <f t="shared" si="13"/>
        <v/>
      </c>
      <c r="AO27" s="5">
        <f>resultOnlatexABC16Dec24!AB32</f>
        <v>24592.1</v>
      </c>
      <c r="AP27" s="7" t="str">
        <f t="shared" si="24"/>
        <v/>
      </c>
      <c r="AQ27" s="7" t="s">
        <v>100</v>
      </c>
      <c r="AR27" s="7" t="str">
        <f t="shared" si="25"/>
        <v/>
      </c>
      <c r="AS27" s="5">
        <f>resultOnlatexABC16Dec24!AD32</f>
        <v>24592.53</v>
      </c>
      <c r="AT27" s="7" t="str">
        <f t="shared" si="26"/>
        <v/>
      </c>
      <c r="AU27" s="7" t="s">
        <v>100</v>
      </c>
      <c r="AV27" s="5">
        <f>resultOnlatexABC16Dec24!AF32</f>
        <v>48.48</v>
      </c>
      <c r="AW27" s="7" t="s">
        <v>100</v>
      </c>
      <c r="AX27" s="5">
        <f>resultOnlatexABC16Dec24!AH32</f>
        <v>24554.799999999999</v>
      </c>
      <c r="AY27" s="6" t="s">
        <v>102</v>
      </c>
      <c r="AZ27" s="8"/>
    </row>
    <row r="28" spans="2:52">
      <c r="B28" s="4" t="s">
        <v>33</v>
      </c>
      <c r="C28" s="4" t="s">
        <v>100</v>
      </c>
      <c r="D28" s="4" t="str">
        <f t="shared" si="17"/>
        <v>\textbf{</v>
      </c>
      <c r="E28" s="5">
        <f>resultOnlatexABC16Dec24!D33</f>
        <v>37798.25</v>
      </c>
      <c r="F28" s="4" t="str">
        <f t="shared" si="4"/>
        <v>}</v>
      </c>
      <c r="G28" s="4" t="s">
        <v>100</v>
      </c>
      <c r="H28" s="4" t="str">
        <f t="shared" si="5"/>
        <v>\textbf{</v>
      </c>
      <c r="I28" s="5">
        <f>resultOnlatexABC16Dec24!F33</f>
        <v>37798.93</v>
      </c>
      <c r="J28" s="4" t="str">
        <f t="shared" si="6"/>
        <v>}</v>
      </c>
      <c r="K28" s="4" t="s">
        <v>100</v>
      </c>
      <c r="L28" s="5">
        <f>resultOnlatexABC16Dec24!H33</f>
        <v>934.95</v>
      </c>
      <c r="M28" s="4" t="s">
        <v>100</v>
      </c>
      <c r="N28" s="5">
        <f>resultOnlatexABC16Dec24!J33</f>
        <v>37788.199999999997</v>
      </c>
      <c r="O28" s="4" t="s">
        <v>100</v>
      </c>
      <c r="P28" s="4" t="str">
        <f t="shared" si="18"/>
        <v/>
      </c>
      <c r="Q28" s="5">
        <f>resultOnlatexABC16Dec24!L33</f>
        <v>38652.6</v>
      </c>
      <c r="R28" s="4" t="str">
        <f t="shared" si="19"/>
        <v/>
      </c>
      <c r="S28" s="4" t="s">
        <v>100</v>
      </c>
      <c r="T28" s="4" t="str">
        <f t="shared" si="7"/>
        <v/>
      </c>
      <c r="U28" s="5">
        <f>resultOnlatexABC16Dec24!N33</f>
        <v>38652.86</v>
      </c>
      <c r="V28" s="4" t="str">
        <f t="shared" si="20"/>
        <v/>
      </c>
      <c r="W28" s="4" t="s">
        <v>100</v>
      </c>
      <c r="X28" s="5">
        <f>resultOnlatexABC16Dec24!P33</f>
        <v>766.15</v>
      </c>
      <c r="Y28" s="4" t="s">
        <v>100</v>
      </c>
      <c r="Z28" s="5">
        <f>resultOnlatexABC16Dec24!R33</f>
        <v>38661.5</v>
      </c>
      <c r="AA28" s="4" t="s">
        <v>100</v>
      </c>
      <c r="AB28" s="4" t="str">
        <f t="shared" si="9"/>
        <v/>
      </c>
      <c r="AC28" s="5">
        <f>resultOnlatexABC16Dec24!T33</f>
        <v>37801</v>
      </c>
      <c r="AD28" s="4" t="str">
        <f t="shared" ref="AD28:AD49" si="27">IF(AC28=MIN(E28,Q28,AC28,AO28),"}","")</f>
        <v/>
      </c>
      <c r="AE28" s="4" t="s">
        <v>100</v>
      </c>
      <c r="AF28" s="4" t="str">
        <f t="shared" ref="AF28:AF49" si="28">IF(AG28=MIN(I28,U28,AG28,AS28),"\textbf{","")</f>
        <v/>
      </c>
      <c r="AG28" s="5">
        <f>resultOnlatexABC16Dec24!V33</f>
        <v>37810.44</v>
      </c>
      <c r="AH28" s="4" t="str">
        <f t="shared" ref="AH28:AH49" si="29">IF(AG28=MIN(I28,U28,AG28,AS28),"}","")</f>
        <v/>
      </c>
      <c r="AI28" s="4" t="s">
        <v>100</v>
      </c>
      <c r="AJ28" s="5">
        <f>resultOnlatexABC16Dec24!X33</f>
        <v>935.72</v>
      </c>
      <c r="AK28" s="4" t="s">
        <v>100</v>
      </c>
      <c r="AL28" s="5">
        <f>resultOnlatexABC16Dec24!Z33</f>
        <v>37788.800000000003</v>
      </c>
      <c r="AM28" s="4" t="s">
        <v>100</v>
      </c>
      <c r="AN28" s="4" t="str">
        <f t="shared" si="13"/>
        <v/>
      </c>
      <c r="AO28" s="5">
        <f>resultOnlatexABC16Dec24!AB33</f>
        <v>37799.599999999999</v>
      </c>
      <c r="AP28" s="7" t="str">
        <f>IF(AO28=MIN(E28,Q28,AC28,AO28),"}","")</f>
        <v/>
      </c>
      <c r="AQ28" s="7" t="s">
        <v>100</v>
      </c>
      <c r="AR28" s="7" t="str">
        <f>IF(AS28=MIN(I28,U28,AG28,AS28),"\textbf{","")</f>
        <v/>
      </c>
      <c r="AS28" s="5">
        <f>resultOnlatexABC16Dec24!AD33</f>
        <v>37812</v>
      </c>
      <c r="AT28" s="7" t="str">
        <f>IF(AS28=MIN(I28,U28,AG28,AS28),"}","")</f>
        <v/>
      </c>
      <c r="AU28" s="7" t="s">
        <v>100</v>
      </c>
      <c r="AV28" s="5">
        <f>resultOnlatexABC16Dec24!AF33</f>
        <v>808.91</v>
      </c>
      <c r="AW28" s="7" t="s">
        <v>100</v>
      </c>
      <c r="AX28" s="5">
        <f>resultOnlatexABC16Dec24!AH33</f>
        <v>37788.9</v>
      </c>
      <c r="AY28" s="6" t="s">
        <v>102</v>
      </c>
      <c r="AZ28" s="8"/>
    </row>
    <row r="29" spans="2:52">
      <c r="B29" s="4" t="s">
        <v>34</v>
      </c>
      <c r="C29" s="4" t="s">
        <v>100</v>
      </c>
      <c r="D29" s="4" t="str">
        <f t="shared" si="17"/>
        <v>\textbf{</v>
      </c>
      <c r="E29" s="5">
        <f>resultOnlatexABC16Dec24!D34</f>
        <v>50542.02</v>
      </c>
      <c r="F29" s="4" t="str">
        <f t="shared" si="4"/>
        <v>}</v>
      </c>
      <c r="G29" s="4" t="s">
        <v>100</v>
      </c>
      <c r="H29" s="4" t="str">
        <f t="shared" si="5"/>
        <v>\textbf{</v>
      </c>
      <c r="I29" s="5">
        <f>resultOnlatexABC16Dec24!F34</f>
        <v>50549.05</v>
      </c>
      <c r="J29" s="4" t="str">
        <f t="shared" si="6"/>
        <v>}</v>
      </c>
      <c r="K29" s="4" t="s">
        <v>100</v>
      </c>
      <c r="L29" s="5">
        <f>resultOnlatexABC16Dec24!H34</f>
        <v>1161.5899999999999</v>
      </c>
      <c r="M29" s="4" t="s">
        <v>100</v>
      </c>
      <c r="N29" s="5">
        <f>resultOnlatexABC16Dec24!J34</f>
        <v>50566.1</v>
      </c>
      <c r="O29" s="4" t="s">
        <v>100</v>
      </c>
      <c r="P29" s="4" t="str">
        <f t="shared" si="18"/>
        <v/>
      </c>
      <c r="Q29" s="5">
        <f>resultOnlatexABC16Dec24!L34</f>
        <v>51587.3</v>
      </c>
      <c r="R29" s="4" t="str">
        <f t="shared" si="19"/>
        <v/>
      </c>
      <c r="S29" s="4" t="s">
        <v>100</v>
      </c>
      <c r="T29" s="4" t="str">
        <f t="shared" si="7"/>
        <v/>
      </c>
      <c r="U29" s="5">
        <f>resultOnlatexABC16Dec24!N34</f>
        <v>51587.26</v>
      </c>
      <c r="V29" s="4" t="str">
        <f t="shared" si="20"/>
        <v/>
      </c>
      <c r="W29" s="4" t="s">
        <v>100</v>
      </c>
      <c r="X29" s="5">
        <f>resultOnlatexABC16Dec24!P34</f>
        <v>214.84</v>
      </c>
      <c r="Y29" s="4" t="s">
        <v>100</v>
      </c>
      <c r="Z29" s="5">
        <f>resultOnlatexABC16Dec24!R34</f>
        <v>51619.6</v>
      </c>
      <c r="AA29" s="4" t="s">
        <v>100</v>
      </c>
      <c r="AB29" s="4" t="str">
        <f t="shared" si="9"/>
        <v/>
      </c>
      <c r="AC29" s="5">
        <f>resultOnlatexABC16Dec24!T34</f>
        <v>50561.1</v>
      </c>
      <c r="AD29" s="4" t="str">
        <f t="shared" si="27"/>
        <v/>
      </c>
      <c r="AE29" s="4" t="s">
        <v>100</v>
      </c>
      <c r="AF29" s="4" t="str">
        <f t="shared" si="28"/>
        <v/>
      </c>
      <c r="AG29" s="5">
        <f>resultOnlatexABC16Dec24!V34</f>
        <v>50589.46</v>
      </c>
      <c r="AH29" s="4" t="str">
        <f t="shared" si="29"/>
        <v/>
      </c>
      <c r="AI29" s="4" t="s">
        <v>100</v>
      </c>
      <c r="AJ29" s="5">
        <f>resultOnlatexABC16Dec24!X34</f>
        <v>955.5</v>
      </c>
      <c r="AK29" s="4" t="s">
        <v>100</v>
      </c>
      <c r="AL29" s="5">
        <f>resultOnlatexABC16Dec24!Z34</f>
        <v>50586.400000000001</v>
      </c>
      <c r="AM29" s="4" t="s">
        <v>100</v>
      </c>
      <c r="AN29" s="4" t="str">
        <f t="shared" si="13"/>
        <v/>
      </c>
      <c r="AO29" s="5">
        <f>resultOnlatexABC16Dec24!AB34</f>
        <v>50561.1</v>
      </c>
      <c r="AP29" s="7" t="str">
        <f t="shared" ref="AP29:AP49" si="30">IF(AO29=MIN(E29,Q29,AC29,AO29),"}","")</f>
        <v/>
      </c>
      <c r="AQ29" s="7" t="s">
        <v>100</v>
      </c>
      <c r="AR29" s="7" t="str">
        <f t="shared" ref="AR29:AR49" si="31">IF(AS29=MIN(I29,U29,AG29,AS29),"\textbf{","")</f>
        <v/>
      </c>
      <c r="AS29" s="5">
        <f>resultOnlatexABC16Dec24!AD34</f>
        <v>50600.12</v>
      </c>
      <c r="AT29" s="7" t="str">
        <f t="shared" ref="AT29:AT49" si="32">IF(AS29=MIN(I29,U29,AG29,AS29),"}","")</f>
        <v/>
      </c>
      <c r="AU29" s="7" t="s">
        <v>100</v>
      </c>
      <c r="AV29" s="5">
        <f>resultOnlatexABC16Dec24!AF34</f>
        <v>1199.45</v>
      </c>
      <c r="AW29" s="7" t="s">
        <v>100</v>
      </c>
      <c r="AX29" s="5">
        <f>resultOnlatexABC16Dec24!AH34</f>
        <v>50586.400000000001</v>
      </c>
      <c r="AY29" s="6" t="s">
        <v>102</v>
      </c>
      <c r="AZ29" s="8"/>
    </row>
    <row r="30" spans="2:52">
      <c r="B30" s="4" t="s">
        <v>35</v>
      </c>
      <c r="C30" s="4" t="s">
        <v>100</v>
      </c>
      <c r="D30" s="4" t="str">
        <f t="shared" si="17"/>
        <v>\textbf{</v>
      </c>
      <c r="E30" s="5">
        <f>resultOnlatexABC16Dec24!D35</f>
        <v>62467.74</v>
      </c>
      <c r="F30" s="4" t="str">
        <f t="shared" si="4"/>
        <v>}</v>
      </c>
      <c r="G30" s="4" t="s">
        <v>100</v>
      </c>
      <c r="H30" s="4" t="str">
        <f t="shared" si="5"/>
        <v>\textbf{</v>
      </c>
      <c r="I30" s="5">
        <f>resultOnlatexABC16Dec24!F35</f>
        <v>62470.96</v>
      </c>
      <c r="J30" s="4" t="str">
        <f t="shared" si="6"/>
        <v>}</v>
      </c>
      <c r="K30" s="4" t="s">
        <v>100</v>
      </c>
      <c r="L30" s="5">
        <f>resultOnlatexABC16Dec24!H35</f>
        <v>1096.6500000000001</v>
      </c>
      <c r="M30" s="4" t="s">
        <v>100</v>
      </c>
      <c r="N30" s="5">
        <f>resultOnlatexABC16Dec24!J35</f>
        <v>62481.1</v>
      </c>
      <c r="O30" s="4" t="s">
        <v>100</v>
      </c>
      <c r="P30" s="4" t="str">
        <f t="shared" si="18"/>
        <v/>
      </c>
      <c r="Q30" s="5">
        <f>resultOnlatexABC16Dec24!L35</f>
        <v>64257.9</v>
      </c>
      <c r="R30" s="4" t="str">
        <f t="shared" si="19"/>
        <v/>
      </c>
      <c r="S30" s="4" t="s">
        <v>100</v>
      </c>
      <c r="T30" s="4" t="str">
        <f t="shared" si="7"/>
        <v/>
      </c>
      <c r="U30" s="5">
        <f>resultOnlatexABC16Dec24!N35</f>
        <v>64278.400000000001</v>
      </c>
      <c r="V30" s="4" t="str">
        <f t="shared" si="20"/>
        <v/>
      </c>
      <c r="W30" s="4" t="s">
        <v>100</v>
      </c>
      <c r="X30" s="5">
        <f>resultOnlatexABC16Dec24!P35</f>
        <v>1159.69</v>
      </c>
      <c r="Y30" s="4" t="s">
        <v>100</v>
      </c>
      <c r="Z30" s="5">
        <f>resultOnlatexABC16Dec24!R35</f>
        <v>64277.5</v>
      </c>
      <c r="AA30" s="4" t="s">
        <v>100</v>
      </c>
      <c r="AB30" s="4" t="str">
        <f t="shared" si="9"/>
        <v/>
      </c>
      <c r="AC30" s="5">
        <f>resultOnlatexABC16Dec24!T35</f>
        <v>62492.800000000003</v>
      </c>
      <c r="AD30" s="4" t="str">
        <f t="shared" si="27"/>
        <v/>
      </c>
      <c r="AE30" s="4" t="s">
        <v>100</v>
      </c>
      <c r="AF30" s="4" t="str">
        <f t="shared" si="28"/>
        <v/>
      </c>
      <c r="AG30" s="5">
        <f>resultOnlatexABC16Dec24!V35</f>
        <v>62580.49</v>
      </c>
      <c r="AH30" s="4" t="str">
        <f t="shared" si="29"/>
        <v/>
      </c>
      <c r="AI30" s="4" t="s">
        <v>100</v>
      </c>
      <c r="AJ30" s="5">
        <f>resultOnlatexABC16Dec24!X35</f>
        <v>1173.45</v>
      </c>
      <c r="AK30" s="4" t="s">
        <v>100</v>
      </c>
      <c r="AL30" s="5">
        <f>resultOnlatexABC16Dec24!Z35</f>
        <v>62494.5</v>
      </c>
      <c r="AM30" s="4" t="s">
        <v>100</v>
      </c>
      <c r="AN30" s="4" t="str">
        <f t="shared" si="13"/>
        <v/>
      </c>
      <c r="AO30" s="5">
        <f>resultOnlatexABC16Dec24!AB35</f>
        <v>62500.7</v>
      </c>
      <c r="AP30" s="7" t="str">
        <f t="shared" si="30"/>
        <v/>
      </c>
      <c r="AQ30" s="7" t="s">
        <v>100</v>
      </c>
      <c r="AR30" s="7" t="str">
        <f t="shared" si="31"/>
        <v/>
      </c>
      <c r="AS30" s="5">
        <f>resultOnlatexABC16Dec24!AD35</f>
        <v>62580.35</v>
      </c>
      <c r="AT30" s="7" t="str">
        <f t="shared" si="32"/>
        <v/>
      </c>
      <c r="AU30" s="7" t="s">
        <v>100</v>
      </c>
      <c r="AV30" s="5">
        <f>resultOnlatexABC16Dec24!AF35</f>
        <v>1225.03</v>
      </c>
      <c r="AW30" s="7" t="s">
        <v>100</v>
      </c>
      <c r="AX30" s="5">
        <f>resultOnlatexABC16Dec24!AH35</f>
        <v>62502.8</v>
      </c>
      <c r="AY30" s="6" t="s">
        <v>102</v>
      </c>
      <c r="AZ30" s="8"/>
    </row>
    <row r="31" spans="2:52">
      <c r="B31" s="4" t="s">
        <v>36</v>
      </c>
      <c r="C31" s="4" t="s">
        <v>100</v>
      </c>
      <c r="D31" s="4" t="str">
        <f t="shared" si="17"/>
        <v>\textbf{</v>
      </c>
      <c r="E31" s="5">
        <f>resultOnlatexABC16Dec24!D36</f>
        <v>67575.55</v>
      </c>
      <c r="F31" s="4" t="str">
        <f t="shared" si="4"/>
        <v>}</v>
      </c>
      <c r="G31" s="4" t="s">
        <v>100</v>
      </c>
      <c r="H31" s="4" t="str">
        <f t="shared" si="5"/>
        <v>\textbf{</v>
      </c>
      <c r="I31" s="5">
        <f>resultOnlatexABC16Dec24!F36</f>
        <v>67688.62</v>
      </c>
      <c r="J31" s="4" t="str">
        <f t="shared" si="6"/>
        <v>}</v>
      </c>
      <c r="K31" s="4" t="s">
        <v>100</v>
      </c>
      <c r="L31" s="5">
        <f>resultOnlatexABC16Dec24!H36</f>
        <v>919.69</v>
      </c>
      <c r="M31" s="4" t="s">
        <v>100</v>
      </c>
      <c r="N31" s="5">
        <f>resultOnlatexABC16Dec24!J36</f>
        <v>67545.8</v>
      </c>
      <c r="O31" s="4" t="s">
        <v>100</v>
      </c>
      <c r="P31" s="4" t="str">
        <f t="shared" si="18"/>
        <v/>
      </c>
      <c r="Q31" s="5">
        <f>resultOnlatexABC16Dec24!L36</f>
        <v>68588.800000000003</v>
      </c>
      <c r="R31" s="4" t="str">
        <f t="shared" si="19"/>
        <v/>
      </c>
      <c r="S31" s="4" t="s">
        <v>100</v>
      </c>
      <c r="T31" s="4" t="str">
        <f t="shared" si="7"/>
        <v/>
      </c>
      <c r="U31" s="5">
        <f>resultOnlatexABC16Dec24!N36</f>
        <v>68619.509999999995</v>
      </c>
      <c r="V31" s="4" t="str">
        <f t="shared" si="20"/>
        <v/>
      </c>
      <c r="W31" s="4" t="s">
        <v>100</v>
      </c>
      <c r="X31" s="5">
        <f>resultOnlatexABC16Dec24!P36</f>
        <v>663.92</v>
      </c>
      <c r="Y31" s="4" t="s">
        <v>100</v>
      </c>
      <c r="Z31" s="5">
        <f>resultOnlatexABC16Dec24!R36</f>
        <v>68559.600000000006</v>
      </c>
      <c r="AA31" s="4" t="s">
        <v>100</v>
      </c>
      <c r="AB31" s="4" t="str">
        <f t="shared" si="9"/>
        <v/>
      </c>
      <c r="AC31" s="5">
        <f>resultOnlatexABC16Dec24!T36</f>
        <v>67644.100000000006</v>
      </c>
      <c r="AD31" s="4" t="str">
        <f t="shared" si="27"/>
        <v/>
      </c>
      <c r="AE31" s="4" t="s">
        <v>100</v>
      </c>
      <c r="AF31" s="4" t="str">
        <f t="shared" si="28"/>
        <v/>
      </c>
      <c r="AG31" s="5">
        <f>resultOnlatexABC16Dec24!V36</f>
        <v>67743.69</v>
      </c>
      <c r="AH31" s="4" t="str">
        <f t="shared" si="29"/>
        <v/>
      </c>
      <c r="AI31" s="4" t="s">
        <v>100</v>
      </c>
      <c r="AJ31" s="5">
        <f>resultOnlatexABC16Dec24!X36</f>
        <v>1168.5</v>
      </c>
      <c r="AK31" s="4" t="s">
        <v>100</v>
      </c>
      <c r="AL31" s="5">
        <f>resultOnlatexABC16Dec24!Z36</f>
        <v>67604.5</v>
      </c>
      <c r="AM31" s="4" t="s">
        <v>100</v>
      </c>
      <c r="AN31" s="4" t="str">
        <f t="shared" si="13"/>
        <v/>
      </c>
      <c r="AO31" s="5">
        <f>resultOnlatexABC16Dec24!AB36</f>
        <v>67705</v>
      </c>
      <c r="AP31" s="7" t="str">
        <f t="shared" si="30"/>
        <v/>
      </c>
      <c r="AQ31" s="7" t="s">
        <v>100</v>
      </c>
      <c r="AR31" s="7" t="str">
        <f t="shared" si="31"/>
        <v/>
      </c>
      <c r="AS31" s="5">
        <f>resultOnlatexABC16Dec24!AD36</f>
        <v>67803.83</v>
      </c>
      <c r="AT31" s="7" t="str">
        <f t="shared" si="32"/>
        <v/>
      </c>
      <c r="AU31" s="7" t="s">
        <v>100</v>
      </c>
      <c r="AV31" s="5">
        <f>resultOnlatexABC16Dec24!AF36</f>
        <v>1313.8</v>
      </c>
      <c r="AW31" s="7" t="s">
        <v>100</v>
      </c>
      <c r="AX31" s="5">
        <f>resultOnlatexABC16Dec24!AH36</f>
        <v>67666.100000000006</v>
      </c>
      <c r="AY31" s="6" t="s">
        <v>102</v>
      </c>
      <c r="AZ31" s="8"/>
    </row>
    <row r="32" spans="2:52">
      <c r="B32" s="4" t="s">
        <v>37</v>
      </c>
      <c r="C32" s="4" t="s">
        <v>100</v>
      </c>
      <c r="D32" s="4" t="str">
        <f t="shared" si="17"/>
        <v>\textbf{</v>
      </c>
      <c r="E32" s="5">
        <f>resultOnlatexABC16Dec24!D37</f>
        <v>241551.04</v>
      </c>
      <c r="F32" s="4" t="str">
        <f t="shared" si="4"/>
        <v>}</v>
      </c>
      <c r="G32" s="4" t="s">
        <v>100</v>
      </c>
      <c r="H32" s="4" t="str">
        <f t="shared" si="5"/>
        <v>\textbf{</v>
      </c>
      <c r="I32" s="5">
        <f>resultOnlatexABC16Dec24!F37</f>
        <v>241605.58</v>
      </c>
      <c r="J32" s="4" t="str">
        <f t="shared" si="6"/>
        <v>}</v>
      </c>
      <c r="K32" s="4" t="s">
        <v>100</v>
      </c>
      <c r="L32" s="5">
        <f>resultOnlatexABC16Dec24!H37</f>
        <v>1094.73</v>
      </c>
      <c r="M32" s="4" t="s">
        <v>100</v>
      </c>
      <c r="N32" s="5">
        <f>resultOnlatexABC16Dec24!J37</f>
        <v>241567.5</v>
      </c>
      <c r="O32" s="4" t="s">
        <v>100</v>
      </c>
      <c r="P32" s="4" t="str">
        <f t="shared" si="18"/>
        <v/>
      </c>
      <c r="Q32" s="5">
        <f>resultOnlatexABC16Dec24!L37</f>
        <v>242378.5</v>
      </c>
      <c r="R32" s="4" t="str">
        <f t="shared" si="19"/>
        <v/>
      </c>
      <c r="S32" s="4" t="s">
        <v>100</v>
      </c>
      <c r="T32" s="4" t="str">
        <f t="shared" si="7"/>
        <v/>
      </c>
      <c r="U32" s="5">
        <f>resultOnlatexABC16Dec24!N37</f>
        <v>242460.35</v>
      </c>
      <c r="V32" s="4" t="str">
        <f t="shared" si="20"/>
        <v/>
      </c>
      <c r="W32" s="4" t="s">
        <v>100</v>
      </c>
      <c r="X32" s="5">
        <f>resultOnlatexABC16Dec24!P37</f>
        <v>1083.8800000000001</v>
      </c>
      <c r="Y32" s="4" t="s">
        <v>100</v>
      </c>
      <c r="Z32" s="5">
        <f>resultOnlatexABC16Dec24!R37</f>
        <v>242363.6</v>
      </c>
      <c r="AA32" s="4" t="s">
        <v>100</v>
      </c>
      <c r="AB32" s="4" t="str">
        <f t="shared" si="9"/>
        <v/>
      </c>
      <c r="AC32" s="5">
        <f>resultOnlatexABC16Dec24!T37</f>
        <v>241556</v>
      </c>
      <c r="AD32" s="4" t="str">
        <f t="shared" si="27"/>
        <v/>
      </c>
      <c r="AE32" s="4" t="s">
        <v>100</v>
      </c>
      <c r="AF32" s="4" t="str">
        <f t="shared" si="28"/>
        <v/>
      </c>
      <c r="AG32" s="5">
        <f>resultOnlatexABC16Dec24!V37</f>
        <v>241628.73</v>
      </c>
      <c r="AH32" s="4" t="str">
        <f t="shared" si="29"/>
        <v/>
      </c>
      <c r="AI32" s="4" t="s">
        <v>100</v>
      </c>
      <c r="AJ32" s="5">
        <f>resultOnlatexABC16Dec24!X37</f>
        <v>1427.53</v>
      </c>
      <c r="AK32" s="4" t="s">
        <v>100</v>
      </c>
      <c r="AL32" s="5">
        <f>resultOnlatexABC16Dec24!Z37</f>
        <v>241570.1</v>
      </c>
      <c r="AM32" s="4" t="s">
        <v>100</v>
      </c>
      <c r="AN32" s="4" t="str">
        <f t="shared" si="13"/>
        <v/>
      </c>
      <c r="AO32" s="5">
        <f>resultOnlatexABC16Dec24!AB37</f>
        <v>241578.8</v>
      </c>
      <c r="AP32" s="7" t="str">
        <f t="shared" si="30"/>
        <v/>
      </c>
      <c r="AQ32" s="7" t="s">
        <v>100</v>
      </c>
      <c r="AR32" s="7" t="str">
        <f t="shared" si="31"/>
        <v/>
      </c>
      <c r="AS32" s="5">
        <f>resultOnlatexABC16Dec24!AD37</f>
        <v>241675.15</v>
      </c>
      <c r="AT32" s="7" t="str">
        <f t="shared" si="32"/>
        <v/>
      </c>
      <c r="AU32" s="7" t="s">
        <v>100</v>
      </c>
      <c r="AV32" s="5">
        <f>resultOnlatexABC16Dec24!AF37</f>
        <v>1404.74</v>
      </c>
      <c r="AW32" s="7" t="s">
        <v>100</v>
      </c>
      <c r="AX32" s="5">
        <f>resultOnlatexABC16Dec24!AH37</f>
        <v>241592.1</v>
      </c>
      <c r="AY32" s="6" t="s">
        <v>102</v>
      </c>
      <c r="AZ32" s="8"/>
    </row>
    <row r="33" spans="2:52">
      <c r="B33" s="4" t="s">
        <v>38</v>
      </c>
      <c r="C33" s="4" t="s">
        <v>100</v>
      </c>
      <c r="D33" s="4" t="str">
        <f t="shared" si="17"/>
        <v>\textbf{</v>
      </c>
      <c r="E33" s="5">
        <f>resultOnlatexABC16Dec24!D38</f>
        <v>114511.99</v>
      </c>
      <c r="F33" s="4" t="str">
        <f t="shared" si="4"/>
        <v>}</v>
      </c>
      <c r="G33" s="4" t="s">
        <v>100</v>
      </c>
      <c r="H33" s="4" t="str">
        <f t="shared" si="5"/>
        <v>\textbf{</v>
      </c>
      <c r="I33" s="5">
        <f>resultOnlatexABC16Dec24!F38</f>
        <v>114671.09</v>
      </c>
      <c r="J33" s="4" t="str">
        <f t="shared" si="6"/>
        <v>}</v>
      </c>
      <c r="K33" s="4" t="s">
        <v>100</v>
      </c>
      <c r="L33" s="5">
        <f>resultOnlatexABC16Dec24!H38</f>
        <v>1505.15</v>
      </c>
      <c r="M33" s="4" t="s">
        <v>100</v>
      </c>
      <c r="N33" s="5">
        <f>resultOnlatexABC16Dec24!J38</f>
        <v>114496.9</v>
      </c>
      <c r="O33" s="4" t="s">
        <v>100</v>
      </c>
      <c r="P33" s="4" t="str">
        <f t="shared" si="18"/>
        <v/>
      </c>
      <c r="Q33" s="5">
        <f>resultOnlatexABC16Dec24!L38</f>
        <v>116520.1</v>
      </c>
      <c r="R33" s="4" t="str">
        <f t="shared" si="19"/>
        <v/>
      </c>
      <c r="S33" s="4" t="s">
        <v>100</v>
      </c>
      <c r="T33" s="4" t="str">
        <f t="shared" si="7"/>
        <v/>
      </c>
      <c r="U33" s="5">
        <f>resultOnlatexABC16Dec24!N38</f>
        <v>116942.98</v>
      </c>
      <c r="V33" s="4" t="str">
        <f t="shared" si="20"/>
        <v/>
      </c>
      <c r="W33" s="4" t="s">
        <v>100</v>
      </c>
      <c r="X33" s="5">
        <f>resultOnlatexABC16Dec24!P38</f>
        <v>1157.7</v>
      </c>
      <c r="Y33" s="4" t="s">
        <v>100</v>
      </c>
      <c r="Z33" s="5">
        <f>resultOnlatexABC16Dec24!R38</f>
        <v>116547.9</v>
      </c>
      <c r="AA33" s="4" t="s">
        <v>100</v>
      </c>
      <c r="AB33" s="4" t="str">
        <f t="shared" si="9"/>
        <v/>
      </c>
      <c r="AC33" s="5">
        <f>resultOnlatexABC16Dec24!T38</f>
        <v>114696.2</v>
      </c>
      <c r="AD33" s="4" t="str">
        <f t="shared" si="27"/>
        <v/>
      </c>
      <c r="AE33" s="4" t="s">
        <v>100</v>
      </c>
      <c r="AF33" s="4" t="str">
        <f t="shared" si="28"/>
        <v/>
      </c>
      <c r="AG33" s="5">
        <f>resultOnlatexABC16Dec24!V38</f>
        <v>115009.65</v>
      </c>
      <c r="AH33" s="4" t="str">
        <f t="shared" si="29"/>
        <v/>
      </c>
      <c r="AI33" s="4" t="s">
        <v>100</v>
      </c>
      <c r="AJ33" s="5">
        <f>resultOnlatexABC16Dec24!X38</f>
        <v>1495.34</v>
      </c>
      <c r="AK33" s="4" t="s">
        <v>100</v>
      </c>
      <c r="AL33" s="5">
        <f>resultOnlatexABC16Dec24!Z38</f>
        <v>114694.1</v>
      </c>
      <c r="AM33" s="4" t="s">
        <v>100</v>
      </c>
      <c r="AN33" s="4" t="str">
        <f t="shared" si="13"/>
        <v/>
      </c>
      <c r="AO33" s="5">
        <f>resultOnlatexABC16Dec24!AB38</f>
        <v>114884.7</v>
      </c>
      <c r="AP33" s="7" t="str">
        <f t="shared" si="30"/>
        <v/>
      </c>
      <c r="AQ33" s="7" t="s">
        <v>100</v>
      </c>
      <c r="AR33" s="7" t="str">
        <f t="shared" si="31"/>
        <v/>
      </c>
      <c r="AS33" s="5">
        <f>resultOnlatexABC16Dec24!AD38</f>
        <v>115286.18</v>
      </c>
      <c r="AT33" s="7" t="str">
        <f t="shared" si="32"/>
        <v/>
      </c>
      <c r="AU33" s="7" t="s">
        <v>100</v>
      </c>
      <c r="AV33" s="5">
        <f>resultOnlatexABC16Dec24!AF38</f>
        <v>1588.61</v>
      </c>
      <c r="AW33" s="7" t="s">
        <v>100</v>
      </c>
      <c r="AX33" s="5">
        <f>resultOnlatexABC16Dec24!AH38</f>
        <v>114875.6</v>
      </c>
      <c r="AY33" s="6" t="s">
        <v>102</v>
      </c>
      <c r="AZ33" s="8"/>
    </row>
    <row r="34" spans="2:52">
      <c r="B34" s="4" t="s">
        <v>39</v>
      </c>
      <c r="C34" s="4" t="s">
        <v>100</v>
      </c>
      <c r="D34" s="4" t="str">
        <f t="shared" si="17"/>
        <v>\textbf{</v>
      </c>
      <c r="E34" s="5">
        <f>resultOnlatexABC16Dec24!D39</f>
        <v>241918.34</v>
      </c>
      <c r="F34" s="4" t="str">
        <f t="shared" si="4"/>
        <v>}</v>
      </c>
      <c r="G34" s="4" t="s">
        <v>100</v>
      </c>
      <c r="H34" s="4" t="str">
        <f t="shared" si="5"/>
        <v>\textbf{</v>
      </c>
      <c r="I34" s="5">
        <f>resultOnlatexABC16Dec24!F39</f>
        <v>241992.26</v>
      </c>
      <c r="J34" s="4" t="str">
        <f t="shared" si="6"/>
        <v>}</v>
      </c>
      <c r="K34" s="4" t="s">
        <v>100</v>
      </c>
      <c r="L34" s="5">
        <f>resultOnlatexABC16Dec24!H39</f>
        <v>1234.6099999999999</v>
      </c>
      <c r="M34" s="4" t="s">
        <v>100</v>
      </c>
      <c r="N34" s="5">
        <f>resultOnlatexABC16Dec24!J39</f>
        <v>241922.1</v>
      </c>
      <c r="O34" s="4" t="s">
        <v>100</v>
      </c>
      <c r="P34" s="4" t="str">
        <f t="shared" si="18"/>
        <v/>
      </c>
      <c r="Q34" s="5">
        <f>resultOnlatexABC16Dec24!L39</f>
        <v>243397.4</v>
      </c>
      <c r="R34" s="4" t="str">
        <f t="shared" si="19"/>
        <v/>
      </c>
      <c r="S34" s="4" t="s">
        <v>100</v>
      </c>
      <c r="T34" s="4" t="str">
        <f t="shared" si="7"/>
        <v/>
      </c>
      <c r="U34" s="5">
        <f>resultOnlatexABC16Dec24!N39</f>
        <v>243497.76</v>
      </c>
      <c r="V34" s="4" t="str">
        <f t="shared" si="20"/>
        <v/>
      </c>
      <c r="W34" s="4" t="s">
        <v>100</v>
      </c>
      <c r="X34" s="5">
        <f>resultOnlatexABC16Dec24!P39</f>
        <v>929.23</v>
      </c>
      <c r="Y34" s="4" t="s">
        <v>100</v>
      </c>
      <c r="Z34" s="5">
        <f>resultOnlatexABC16Dec24!R39</f>
        <v>243407.9</v>
      </c>
      <c r="AA34" s="4" t="s">
        <v>100</v>
      </c>
      <c r="AB34" s="4" t="str">
        <f t="shared" si="9"/>
        <v/>
      </c>
      <c r="AC34" s="5">
        <f>resultOnlatexABC16Dec24!T39</f>
        <v>242009.2</v>
      </c>
      <c r="AD34" s="4" t="str">
        <f t="shared" si="27"/>
        <v/>
      </c>
      <c r="AE34" s="4" t="s">
        <v>100</v>
      </c>
      <c r="AF34" s="4" t="str">
        <f t="shared" si="28"/>
        <v/>
      </c>
      <c r="AG34" s="5">
        <f>resultOnlatexABC16Dec24!V39</f>
        <v>242101.59</v>
      </c>
      <c r="AH34" s="4" t="str">
        <f t="shared" si="29"/>
        <v/>
      </c>
      <c r="AI34" s="4" t="s">
        <v>100</v>
      </c>
      <c r="AJ34" s="5">
        <f>resultOnlatexABC16Dec24!X39</f>
        <v>1437.79</v>
      </c>
      <c r="AK34" s="4" t="s">
        <v>100</v>
      </c>
      <c r="AL34" s="5">
        <f>resultOnlatexABC16Dec24!Z39</f>
        <v>242019.8</v>
      </c>
      <c r="AM34" s="4" t="s">
        <v>100</v>
      </c>
      <c r="AN34" s="4" t="str">
        <f t="shared" si="13"/>
        <v/>
      </c>
      <c r="AO34" s="5">
        <f>resultOnlatexABC16Dec24!AB39</f>
        <v>242076.2</v>
      </c>
      <c r="AP34" s="7" t="str">
        <f t="shared" si="30"/>
        <v/>
      </c>
      <c r="AQ34" s="7" t="s">
        <v>100</v>
      </c>
      <c r="AR34" s="7" t="str">
        <f t="shared" si="31"/>
        <v/>
      </c>
      <c r="AS34" s="5">
        <f>resultOnlatexABC16Dec24!AD39</f>
        <v>242189.03</v>
      </c>
      <c r="AT34" s="7" t="str">
        <f t="shared" si="32"/>
        <v/>
      </c>
      <c r="AU34" s="7" t="s">
        <v>100</v>
      </c>
      <c r="AV34" s="5">
        <f>resultOnlatexABC16Dec24!AF39</f>
        <v>1435.96</v>
      </c>
      <c r="AW34" s="7" t="s">
        <v>100</v>
      </c>
      <c r="AX34" s="5">
        <f>resultOnlatexABC16Dec24!AH39</f>
        <v>242079.8</v>
      </c>
      <c r="AY34" s="6" t="s">
        <v>102</v>
      </c>
      <c r="AZ34" s="8"/>
    </row>
    <row r="35" spans="2:52">
      <c r="B35" s="4" t="s">
        <v>40</v>
      </c>
      <c r="C35" s="4" t="s">
        <v>100</v>
      </c>
      <c r="D35" s="4" t="str">
        <f t="shared" si="17"/>
        <v>\textbf{</v>
      </c>
      <c r="E35" s="5">
        <f>resultOnlatexABC16Dec24!D40</f>
        <v>195827.52</v>
      </c>
      <c r="F35" s="4" t="str">
        <f t="shared" si="4"/>
        <v>}</v>
      </c>
      <c r="G35" s="4" t="s">
        <v>100</v>
      </c>
      <c r="H35" s="4" t="str">
        <f t="shared" si="5"/>
        <v>\textbf{</v>
      </c>
      <c r="I35" s="5">
        <f>resultOnlatexABC16Dec24!F40</f>
        <v>196148.55</v>
      </c>
      <c r="J35" s="4" t="str">
        <f t="shared" si="6"/>
        <v>}</v>
      </c>
      <c r="K35" s="4" t="s">
        <v>100</v>
      </c>
      <c r="L35" s="5">
        <f>resultOnlatexABC16Dec24!H40</f>
        <v>1159.56</v>
      </c>
      <c r="M35" s="4" t="s">
        <v>100</v>
      </c>
      <c r="N35" s="5">
        <f>resultOnlatexABC16Dec24!J40</f>
        <v>195835.5</v>
      </c>
      <c r="O35" s="4" t="s">
        <v>100</v>
      </c>
      <c r="P35" s="4" t="str">
        <f t="shared" si="18"/>
        <v/>
      </c>
      <c r="Q35" s="5">
        <f>resultOnlatexABC16Dec24!L40</f>
        <v>198071.8</v>
      </c>
      <c r="R35" s="4" t="str">
        <f t="shared" si="19"/>
        <v/>
      </c>
      <c r="S35" s="4" t="s">
        <v>100</v>
      </c>
      <c r="T35" s="4" t="str">
        <f t="shared" si="7"/>
        <v/>
      </c>
      <c r="U35" s="5">
        <f>resultOnlatexABC16Dec24!N40</f>
        <v>198211.68</v>
      </c>
      <c r="V35" s="4" t="str">
        <f t="shared" si="20"/>
        <v/>
      </c>
      <c r="W35" s="4" t="s">
        <v>100</v>
      </c>
      <c r="X35" s="5">
        <f>resultOnlatexABC16Dec24!P40</f>
        <v>1174.17</v>
      </c>
      <c r="Y35" s="4" t="s">
        <v>100</v>
      </c>
      <c r="Z35" s="5">
        <f>resultOnlatexABC16Dec24!R40</f>
        <v>198065.7</v>
      </c>
      <c r="AA35" s="4" t="s">
        <v>100</v>
      </c>
      <c r="AB35" s="4" t="str">
        <f t="shared" si="9"/>
        <v/>
      </c>
      <c r="AC35" s="5">
        <f>resultOnlatexABC16Dec24!T40</f>
        <v>196226.1</v>
      </c>
      <c r="AD35" s="4" t="str">
        <f t="shared" si="27"/>
        <v/>
      </c>
      <c r="AE35" s="4" t="s">
        <v>100</v>
      </c>
      <c r="AF35" s="4" t="str">
        <f t="shared" si="28"/>
        <v/>
      </c>
      <c r="AG35" s="5">
        <f>resultOnlatexABC16Dec24!V40</f>
        <v>196464.25</v>
      </c>
      <c r="AH35" s="4" t="str">
        <f t="shared" si="29"/>
        <v/>
      </c>
      <c r="AI35" s="4" t="s">
        <v>100</v>
      </c>
      <c r="AJ35" s="5">
        <f>resultOnlatexABC16Dec24!X40</f>
        <v>1627.26</v>
      </c>
      <c r="AK35" s="4" t="s">
        <v>100</v>
      </c>
      <c r="AL35" s="5">
        <f>resultOnlatexABC16Dec24!Z40</f>
        <v>196259.7</v>
      </c>
      <c r="AM35" s="4" t="s">
        <v>100</v>
      </c>
      <c r="AN35" s="4" t="str">
        <f t="shared" si="13"/>
        <v/>
      </c>
      <c r="AO35" s="5">
        <f>resultOnlatexABC16Dec24!AB40</f>
        <v>196378.8</v>
      </c>
      <c r="AP35" s="7" t="str">
        <f t="shared" si="30"/>
        <v/>
      </c>
      <c r="AQ35" s="7" t="s">
        <v>100</v>
      </c>
      <c r="AR35" s="7" t="str">
        <f t="shared" si="31"/>
        <v/>
      </c>
      <c r="AS35" s="5">
        <f>resultOnlatexABC16Dec24!AD40</f>
        <v>196556.91</v>
      </c>
      <c r="AT35" s="7" t="str">
        <f t="shared" si="32"/>
        <v/>
      </c>
      <c r="AU35" s="7" t="s">
        <v>100</v>
      </c>
      <c r="AV35" s="5">
        <f>resultOnlatexABC16Dec24!AF40</f>
        <v>1560.94</v>
      </c>
      <c r="AW35" s="7" t="s">
        <v>100</v>
      </c>
      <c r="AX35" s="5">
        <f>resultOnlatexABC16Dec24!AH40</f>
        <v>196401.9</v>
      </c>
      <c r="AY35" s="6" t="s">
        <v>102</v>
      </c>
      <c r="AZ35" s="8"/>
    </row>
    <row r="36" spans="2:52">
      <c r="B36" s="4" t="s">
        <v>41</v>
      </c>
      <c r="C36" s="4" t="s">
        <v>100</v>
      </c>
      <c r="D36" s="4" t="str">
        <f t="shared" si="17"/>
        <v>\textbf{</v>
      </c>
      <c r="E36" s="5">
        <f>resultOnlatexABC16Dec24!D41</f>
        <v>194666.04</v>
      </c>
      <c r="F36" s="4" t="str">
        <f t="shared" si="4"/>
        <v>}</v>
      </c>
      <c r="G36" s="4" t="s">
        <v>100</v>
      </c>
      <c r="H36" s="4" t="str">
        <f t="shared" si="5"/>
        <v>\textbf{</v>
      </c>
      <c r="I36" s="5">
        <f>resultOnlatexABC16Dec24!F41</f>
        <v>194897.27</v>
      </c>
      <c r="J36" s="4" t="str">
        <f t="shared" si="6"/>
        <v>}</v>
      </c>
      <c r="K36" s="4" t="s">
        <v>100</v>
      </c>
      <c r="L36" s="5">
        <f>resultOnlatexABC16Dec24!H41</f>
        <v>1560.59</v>
      </c>
      <c r="M36" s="4" t="s">
        <v>100</v>
      </c>
      <c r="N36" s="5">
        <f>resultOnlatexABC16Dec24!J41</f>
        <v>194757.9</v>
      </c>
      <c r="O36" s="4" t="s">
        <v>100</v>
      </c>
      <c r="P36" s="4" t="str">
        <f t="shared" si="18"/>
        <v/>
      </c>
      <c r="Q36" s="5">
        <f>resultOnlatexABC16Dec24!L41</f>
        <v>196919.7</v>
      </c>
      <c r="R36" s="4" t="str">
        <f t="shared" si="19"/>
        <v/>
      </c>
      <c r="S36" s="4" t="s">
        <v>100</v>
      </c>
      <c r="T36" s="4" t="str">
        <f t="shared" si="7"/>
        <v/>
      </c>
      <c r="U36" s="5">
        <f>resultOnlatexABC16Dec24!N41</f>
        <v>197438.6</v>
      </c>
      <c r="V36" s="4" t="str">
        <f t="shared" si="20"/>
        <v/>
      </c>
      <c r="W36" s="4" t="s">
        <v>100</v>
      </c>
      <c r="X36" s="5">
        <f>resultOnlatexABC16Dec24!P41</f>
        <v>1292.71</v>
      </c>
      <c r="Y36" s="4" t="s">
        <v>100</v>
      </c>
      <c r="Z36" s="5">
        <f>resultOnlatexABC16Dec24!R41</f>
        <v>197075.4</v>
      </c>
      <c r="AA36" s="4" t="s">
        <v>100</v>
      </c>
      <c r="AB36" s="4" t="str">
        <f t="shared" si="9"/>
        <v/>
      </c>
      <c r="AC36" s="5">
        <f>resultOnlatexABC16Dec24!T41</f>
        <v>195332.3</v>
      </c>
      <c r="AD36" s="4" t="str">
        <f t="shared" si="27"/>
        <v/>
      </c>
      <c r="AE36" s="4" t="s">
        <v>100</v>
      </c>
      <c r="AF36" s="4" t="str">
        <f t="shared" si="28"/>
        <v/>
      </c>
      <c r="AG36" s="5">
        <f>resultOnlatexABC16Dec24!V41</f>
        <v>195612.52</v>
      </c>
      <c r="AH36" s="4" t="str">
        <f t="shared" si="29"/>
        <v/>
      </c>
      <c r="AI36" s="4" t="s">
        <v>100</v>
      </c>
      <c r="AJ36" s="5">
        <f>resultOnlatexABC16Dec24!X41</f>
        <v>1526.32</v>
      </c>
      <c r="AK36" s="4" t="s">
        <v>100</v>
      </c>
      <c r="AL36" s="5">
        <f>resultOnlatexABC16Dec24!Z41</f>
        <v>195457</v>
      </c>
      <c r="AM36" s="4" t="s">
        <v>100</v>
      </c>
      <c r="AN36" s="4" t="str">
        <f t="shared" si="13"/>
        <v/>
      </c>
      <c r="AO36" s="5">
        <f>resultOnlatexABC16Dec24!AB41</f>
        <v>195332.3</v>
      </c>
      <c r="AP36" s="7" t="str">
        <f t="shared" si="30"/>
        <v/>
      </c>
      <c r="AQ36" s="7" t="s">
        <v>100</v>
      </c>
      <c r="AR36" s="7" t="str">
        <f t="shared" si="31"/>
        <v/>
      </c>
      <c r="AS36" s="5">
        <f>resultOnlatexABC16Dec24!AD41</f>
        <v>195756.72</v>
      </c>
      <c r="AT36" s="7" t="str">
        <f t="shared" si="32"/>
        <v/>
      </c>
      <c r="AU36" s="7" t="s">
        <v>100</v>
      </c>
      <c r="AV36" s="5">
        <f>resultOnlatexABC16Dec24!AF41</f>
        <v>1448.87</v>
      </c>
      <c r="AW36" s="7" t="s">
        <v>100</v>
      </c>
      <c r="AX36" s="5">
        <f>resultOnlatexABC16Dec24!AH41</f>
        <v>195457</v>
      </c>
      <c r="AY36" s="6" t="s">
        <v>102</v>
      </c>
      <c r="AZ36" s="8"/>
    </row>
    <row r="37" spans="2:52">
      <c r="B37" s="4" t="s">
        <v>42</v>
      </c>
      <c r="C37" s="4" t="s">
        <v>100</v>
      </c>
      <c r="D37" s="4" t="str">
        <f t="shared" si="17"/>
        <v>\textbf{</v>
      </c>
      <c r="E37" s="5">
        <f>resultOnlatexABC16Dec24!D42</f>
        <v>201236.17</v>
      </c>
      <c r="F37" s="4" t="str">
        <f t="shared" si="4"/>
        <v>}</v>
      </c>
      <c r="G37" s="4" t="s">
        <v>100</v>
      </c>
      <c r="H37" s="4" t="str">
        <f t="shared" si="5"/>
        <v>\textbf{</v>
      </c>
      <c r="I37" s="5">
        <f>resultOnlatexABC16Dec24!F42</f>
        <v>201479.97</v>
      </c>
      <c r="J37" s="4" t="str">
        <f t="shared" si="6"/>
        <v>}</v>
      </c>
      <c r="K37" s="4" t="s">
        <v>100</v>
      </c>
      <c r="L37" s="5">
        <f>resultOnlatexABC16Dec24!H42</f>
        <v>1418.54</v>
      </c>
      <c r="M37" s="4" t="s">
        <v>100</v>
      </c>
      <c r="N37" s="5">
        <f>resultOnlatexABC16Dec24!J42</f>
        <v>201248.1</v>
      </c>
      <c r="O37" s="4" t="s">
        <v>100</v>
      </c>
      <c r="P37" s="4" t="str">
        <f t="shared" si="18"/>
        <v/>
      </c>
      <c r="Q37" s="5">
        <f>resultOnlatexABC16Dec24!L42</f>
        <v>203131</v>
      </c>
      <c r="R37" s="4" t="str">
        <f t="shared" si="19"/>
        <v/>
      </c>
      <c r="S37" s="4" t="s">
        <v>100</v>
      </c>
      <c r="T37" s="4" t="str">
        <f t="shared" si="7"/>
        <v/>
      </c>
      <c r="U37" s="5">
        <f>resultOnlatexABC16Dec24!N42</f>
        <v>203481.51</v>
      </c>
      <c r="V37" s="4" t="str">
        <f t="shared" si="20"/>
        <v/>
      </c>
      <c r="W37" s="4" t="s">
        <v>100</v>
      </c>
      <c r="X37" s="5">
        <f>resultOnlatexABC16Dec24!P42</f>
        <v>1383.29</v>
      </c>
      <c r="Y37" s="4" t="s">
        <v>100</v>
      </c>
      <c r="Z37" s="5">
        <f>resultOnlatexABC16Dec24!R42</f>
        <v>203169.7</v>
      </c>
      <c r="AA37" s="4" t="s">
        <v>100</v>
      </c>
      <c r="AB37" s="4" t="str">
        <f t="shared" si="9"/>
        <v/>
      </c>
      <c r="AC37" s="5">
        <f>resultOnlatexABC16Dec24!T42</f>
        <v>201388.79999999999</v>
      </c>
      <c r="AD37" s="4" t="str">
        <f t="shared" si="27"/>
        <v/>
      </c>
      <c r="AE37" s="4" t="s">
        <v>100</v>
      </c>
      <c r="AF37" s="4" t="str">
        <f t="shared" si="28"/>
        <v/>
      </c>
      <c r="AG37" s="5">
        <f>resultOnlatexABC16Dec24!V42</f>
        <v>202052.54</v>
      </c>
      <c r="AH37" s="4" t="str">
        <f t="shared" si="29"/>
        <v/>
      </c>
      <c r="AI37" s="4" t="s">
        <v>100</v>
      </c>
      <c r="AJ37" s="5">
        <f>resultOnlatexABC16Dec24!X42</f>
        <v>1402.17</v>
      </c>
      <c r="AK37" s="4" t="s">
        <v>100</v>
      </c>
      <c r="AL37" s="5">
        <f>resultOnlatexABC16Dec24!Z42</f>
        <v>201382.6</v>
      </c>
      <c r="AM37" s="4" t="s">
        <v>100</v>
      </c>
      <c r="AN37" s="4" t="str">
        <f t="shared" si="13"/>
        <v/>
      </c>
      <c r="AO37" s="5">
        <f>resultOnlatexABC16Dec24!AB42</f>
        <v>201825.1</v>
      </c>
      <c r="AP37" s="7" t="str">
        <f t="shared" si="30"/>
        <v/>
      </c>
      <c r="AQ37" s="7" t="s">
        <v>100</v>
      </c>
      <c r="AR37" s="7" t="str">
        <f t="shared" si="31"/>
        <v/>
      </c>
      <c r="AS37" s="5">
        <f>resultOnlatexABC16Dec24!AD42</f>
        <v>202415.04</v>
      </c>
      <c r="AT37" s="7" t="str">
        <f t="shared" si="32"/>
        <v/>
      </c>
      <c r="AU37" s="7" t="s">
        <v>100</v>
      </c>
      <c r="AV37" s="5">
        <f>resultOnlatexABC16Dec24!AF42</f>
        <v>1259.1400000000001</v>
      </c>
      <c r="AW37" s="7" t="s">
        <v>100</v>
      </c>
      <c r="AX37" s="5">
        <f>resultOnlatexABC16Dec24!AH42</f>
        <v>201837.1</v>
      </c>
      <c r="AY37" s="6" t="s">
        <v>102</v>
      </c>
      <c r="AZ37" s="8"/>
    </row>
    <row r="38" spans="2:52">
      <c r="B38" s="4" t="s">
        <v>43</v>
      </c>
      <c r="C38" s="4" t="s">
        <v>100</v>
      </c>
      <c r="D38" s="4" t="str">
        <f t="shared" si="17"/>
        <v>\textbf{</v>
      </c>
      <c r="E38" s="5">
        <f>resultOnlatexABC16Dec24!D43</f>
        <v>305978.94</v>
      </c>
      <c r="F38" s="4" t="str">
        <f t="shared" si="4"/>
        <v>}</v>
      </c>
      <c r="G38" s="4" t="s">
        <v>100</v>
      </c>
      <c r="H38" s="4" t="str">
        <f t="shared" si="5"/>
        <v>\textbf{</v>
      </c>
      <c r="I38" s="5">
        <f>resultOnlatexABC16Dec24!F43</f>
        <v>306277.37</v>
      </c>
      <c r="J38" s="4" t="str">
        <f t="shared" si="6"/>
        <v>}</v>
      </c>
      <c r="K38" s="4" t="s">
        <v>100</v>
      </c>
      <c r="L38" s="5">
        <f>resultOnlatexABC16Dec24!H43</f>
        <v>1495.4</v>
      </c>
      <c r="M38" s="4" t="s">
        <v>100</v>
      </c>
      <c r="N38" s="5">
        <f>resultOnlatexABC16Dec24!J43</f>
        <v>305946.90000000002</v>
      </c>
      <c r="O38" s="4" t="s">
        <v>100</v>
      </c>
      <c r="P38" s="4" t="str">
        <f t="shared" si="18"/>
        <v/>
      </c>
      <c r="Q38" s="5">
        <f>resultOnlatexABC16Dec24!L43</f>
        <v>308568</v>
      </c>
      <c r="R38" s="4" t="str">
        <f t="shared" si="19"/>
        <v/>
      </c>
      <c r="S38" s="4" t="s">
        <v>100</v>
      </c>
      <c r="T38" s="4" t="str">
        <f t="shared" si="7"/>
        <v/>
      </c>
      <c r="U38" s="5">
        <f>resultOnlatexABC16Dec24!N43</f>
        <v>309012.45</v>
      </c>
      <c r="V38" s="4" t="str">
        <f t="shared" si="20"/>
        <v/>
      </c>
      <c r="W38" s="4" t="s">
        <v>100</v>
      </c>
      <c r="X38" s="5">
        <f>resultOnlatexABC16Dec24!P43</f>
        <v>1450.41</v>
      </c>
      <c r="Y38" s="4" t="s">
        <v>100</v>
      </c>
      <c r="Z38" s="5">
        <f>resultOnlatexABC16Dec24!R43</f>
        <v>308539.3</v>
      </c>
      <c r="AA38" s="4" t="s">
        <v>100</v>
      </c>
      <c r="AB38" s="4" t="str">
        <f t="shared" si="9"/>
        <v/>
      </c>
      <c r="AC38" s="5">
        <f>resultOnlatexABC16Dec24!T43</f>
        <v>306921.5</v>
      </c>
      <c r="AD38" s="4" t="str">
        <f t="shared" si="27"/>
        <v/>
      </c>
      <c r="AE38" s="4" t="s">
        <v>100</v>
      </c>
      <c r="AF38" s="4" t="str">
        <f t="shared" si="28"/>
        <v/>
      </c>
      <c r="AG38" s="5">
        <f>resultOnlatexABC16Dec24!V43</f>
        <v>307200.46000000002</v>
      </c>
      <c r="AH38" s="4" t="str">
        <f t="shared" si="29"/>
        <v/>
      </c>
      <c r="AI38" s="4" t="s">
        <v>100</v>
      </c>
      <c r="AJ38" s="5">
        <f>resultOnlatexABC16Dec24!X43</f>
        <v>1693.22</v>
      </c>
      <c r="AK38" s="4" t="s">
        <v>100</v>
      </c>
      <c r="AL38" s="5">
        <f>resultOnlatexABC16Dec24!Z43</f>
        <v>306883.09999999998</v>
      </c>
      <c r="AM38" s="4" t="s">
        <v>100</v>
      </c>
      <c r="AN38" s="4" t="str">
        <f t="shared" si="13"/>
        <v/>
      </c>
      <c r="AO38" s="5">
        <f>resultOnlatexABC16Dec24!AB43</f>
        <v>307007.90000000002</v>
      </c>
      <c r="AP38" s="7" t="str">
        <f t="shared" si="30"/>
        <v/>
      </c>
      <c r="AQ38" s="7" t="s">
        <v>100</v>
      </c>
      <c r="AR38" s="7" t="str">
        <f t="shared" si="31"/>
        <v/>
      </c>
      <c r="AS38" s="5">
        <f>resultOnlatexABC16Dec24!AD43</f>
        <v>307398.76</v>
      </c>
      <c r="AT38" s="7" t="str">
        <f t="shared" si="32"/>
        <v/>
      </c>
      <c r="AU38" s="7" t="s">
        <v>100</v>
      </c>
      <c r="AV38" s="5">
        <f>resultOnlatexABC16Dec24!AF43</f>
        <v>1420.83</v>
      </c>
      <c r="AW38" s="7" t="s">
        <v>100</v>
      </c>
      <c r="AX38" s="5">
        <f>resultOnlatexABC16Dec24!AH43</f>
        <v>306966.90000000002</v>
      </c>
      <c r="AY38" s="6" t="s">
        <v>102</v>
      </c>
      <c r="AZ38" s="8"/>
    </row>
    <row r="39" spans="2:52">
      <c r="B39" s="4" t="s">
        <v>44</v>
      </c>
      <c r="C39" s="4" t="s">
        <v>100</v>
      </c>
      <c r="D39" s="4" t="str">
        <f t="shared" si="17"/>
        <v>\textbf{</v>
      </c>
      <c r="E39" s="5">
        <f>resultOnlatexABC16Dec24!D44</f>
        <v>268297.15000000002</v>
      </c>
      <c r="F39" s="4" t="str">
        <f t="shared" si="4"/>
        <v>}</v>
      </c>
      <c r="G39" s="4" t="s">
        <v>100</v>
      </c>
      <c r="H39" s="4" t="str">
        <f t="shared" si="5"/>
        <v>\textbf{</v>
      </c>
      <c r="I39" s="5">
        <f>resultOnlatexABC16Dec24!F44</f>
        <v>268486.71000000002</v>
      </c>
      <c r="J39" s="4" t="str">
        <f t="shared" si="6"/>
        <v>}</v>
      </c>
      <c r="K39" s="4" t="s">
        <v>100</v>
      </c>
      <c r="L39" s="5">
        <f>resultOnlatexABC16Dec24!H44</f>
        <v>1498.86</v>
      </c>
      <c r="M39" s="4" t="s">
        <v>100</v>
      </c>
      <c r="N39" s="5">
        <f>resultOnlatexABC16Dec24!J44</f>
        <v>268304.2</v>
      </c>
      <c r="O39" s="4" t="s">
        <v>100</v>
      </c>
      <c r="P39" s="4" t="str">
        <f t="shared" si="18"/>
        <v/>
      </c>
      <c r="Q39" s="5">
        <f>resultOnlatexABC16Dec24!L44</f>
        <v>271592.2</v>
      </c>
      <c r="R39" s="4" t="str">
        <f t="shared" si="19"/>
        <v/>
      </c>
      <c r="S39" s="4" t="s">
        <v>100</v>
      </c>
      <c r="T39" s="4" t="str">
        <f t="shared" si="7"/>
        <v/>
      </c>
      <c r="U39" s="5">
        <f>resultOnlatexABC16Dec24!N44</f>
        <v>272157.46999999997</v>
      </c>
      <c r="V39" s="4" t="str">
        <f t="shared" si="20"/>
        <v/>
      </c>
      <c r="W39" s="4" t="s">
        <v>100</v>
      </c>
      <c r="X39" s="5">
        <f>resultOnlatexABC16Dec24!P44</f>
        <v>1467.55</v>
      </c>
      <c r="Y39" s="4" t="s">
        <v>100</v>
      </c>
      <c r="Z39" s="5">
        <f>resultOnlatexABC16Dec24!R44</f>
        <v>271634</v>
      </c>
      <c r="AA39" s="4" t="s">
        <v>100</v>
      </c>
      <c r="AB39" s="4" t="str">
        <f t="shared" si="9"/>
        <v/>
      </c>
      <c r="AC39" s="5">
        <f>resultOnlatexABC16Dec24!T44</f>
        <v>268679.7</v>
      </c>
      <c r="AD39" s="4" t="str">
        <f t="shared" si="27"/>
        <v/>
      </c>
      <c r="AE39" s="4" t="s">
        <v>100</v>
      </c>
      <c r="AF39" s="4" t="str">
        <f t="shared" si="28"/>
        <v/>
      </c>
      <c r="AG39" s="5">
        <f>resultOnlatexABC16Dec24!V44</f>
        <v>269094.78999999998</v>
      </c>
      <c r="AH39" s="4" t="str">
        <f t="shared" si="29"/>
        <v/>
      </c>
      <c r="AI39" s="4" t="s">
        <v>100</v>
      </c>
      <c r="AJ39" s="5">
        <f>resultOnlatexABC16Dec24!X44</f>
        <v>1401.46</v>
      </c>
      <c r="AK39" s="4" t="s">
        <v>100</v>
      </c>
      <c r="AL39" s="5">
        <f>resultOnlatexABC16Dec24!Z44</f>
        <v>268652.3</v>
      </c>
      <c r="AM39" s="4" t="s">
        <v>100</v>
      </c>
      <c r="AN39" s="4" t="str">
        <f t="shared" si="13"/>
        <v/>
      </c>
      <c r="AO39" s="5">
        <f>resultOnlatexABC16Dec24!AB44</f>
        <v>269187.09999999998</v>
      </c>
      <c r="AP39" s="7" t="str">
        <f t="shared" si="30"/>
        <v/>
      </c>
      <c r="AQ39" s="7" t="s">
        <v>100</v>
      </c>
      <c r="AR39" s="7" t="str">
        <f t="shared" si="31"/>
        <v/>
      </c>
      <c r="AS39" s="5">
        <f>resultOnlatexABC16Dec24!AD44</f>
        <v>269704.23</v>
      </c>
      <c r="AT39" s="7" t="str">
        <f t="shared" si="32"/>
        <v/>
      </c>
      <c r="AU39" s="7" t="s">
        <v>100</v>
      </c>
      <c r="AV39" s="5">
        <f>resultOnlatexABC16Dec24!AF44</f>
        <v>1551.98</v>
      </c>
      <c r="AW39" s="7" t="s">
        <v>100</v>
      </c>
      <c r="AX39" s="5">
        <f>resultOnlatexABC16Dec24!AH44</f>
        <v>269166.2</v>
      </c>
      <c r="AY39" s="6" t="s">
        <v>102</v>
      </c>
      <c r="AZ39" s="8"/>
    </row>
    <row r="40" spans="2:52">
      <c r="B40" s="4" t="s">
        <v>45</v>
      </c>
      <c r="C40" s="4" t="s">
        <v>100</v>
      </c>
      <c r="D40" s="4" t="str">
        <f t="shared" si="17"/>
        <v>\textbf{</v>
      </c>
      <c r="E40" s="5">
        <f>resultOnlatexABC16Dec24!D45</f>
        <v>347541.02</v>
      </c>
      <c r="F40" s="4" t="str">
        <f t="shared" si="4"/>
        <v>}</v>
      </c>
      <c r="G40" s="4" t="s">
        <v>100</v>
      </c>
      <c r="H40" s="4" t="str">
        <f t="shared" si="5"/>
        <v>\textbf{</v>
      </c>
      <c r="I40" s="5">
        <f>resultOnlatexABC16Dec24!F45</f>
        <v>347726.14</v>
      </c>
      <c r="J40" s="4" t="str">
        <f t="shared" si="6"/>
        <v>}</v>
      </c>
      <c r="K40" s="4" t="s">
        <v>100</v>
      </c>
      <c r="L40" s="5">
        <f>resultOnlatexABC16Dec24!H45</f>
        <v>1550.98</v>
      </c>
      <c r="M40" s="4" t="s">
        <v>100</v>
      </c>
      <c r="N40" s="5">
        <f>resultOnlatexABC16Dec24!J45</f>
        <v>347537.3</v>
      </c>
      <c r="O40" s="4" t="s">
        <v>100</v>
      </c>
      <c r="P40" s="4" t="str">
        <f t="shared" si="18"/>
        <v/>
      </c>
      <c r="Q40" s="5">
        <f>resultOnlatexABC16Dec24!L45</f>
        <v>350919.6</v>
      </c>
      <c r="R40" s="4" t="str">
        <f t="shared" si="19"/>
        <v/>
      </c>
      <c r="S40" s="4" t="s">
        <v>100</v>
      </c>
      <c r="T40" s="4" t="str">
        <f t="shared" si="7"/>
        <v/>
      </c>
      <c r="U40" s="5">
        <f>resultOnlatexABC16Dec24!N45</f>
        <v>351400.34</v>
      </c>
      <c r="V40" s="4" t="str">
        <f t="shared" si="20"/>
        <v/>
      </c>
      <c r="W40" s="4" t="s">
        <v>100</v>
      </c>
      <c r="X40" s="5">
        <f>resultOnlatexABC16Dec24!P45</f>
        <v>1568.53</v>
      </c>
      <c r="Y40" s="4" t="s">
        <v>100</v>
      </c>
      <c r="Z40" s="5">
        <f>resultOnlatexABC16Dec24!R45</f>
        <v>350929.3</v>
      </c>
      <c r="AA40" s="4" t="s">
        <v>100</v>
      </c>
      <c r="AB40" s="4" t="str">
        <f t="shared" si="9"/>
        <v/>
      </c>
      <c r="AC40" s="5">
        <f>resultOnlatexABC16Dec24!T45</f>
        <v>348585.6</v>
      </c>
      <c r="AD40" s="4" t="str">
        <f t="shared" si="27"/>
        <v/>
      </c>
      <c r="AE40" s="4" t="s">
        <v>100</v>
      </c>
      <c r="AF40" s="4" t="str">
        <f t="shared" si="28"/>
        <v/>
      </c>
      <c r="AG40" s="5">
        <f>resultOnlatexABC16Dec24!V45</f>
        <v>349070.59</v>
      </c>
      <c r="AH40" s="4" t="str">
        <f t="shared" si="29"/>
        <v/>
      </c>
      <c r="AI40" s="4" t="s">
        <v>100</v>
      </c>
      <c r="AJ40" s="5">
        <f>resultOnlatexABC16Dec24!X45</f>
        <v>1351.55</v>
      </c>
      <c r="AK40" s="4" t="s">
        <v>100</v>
      </c>
      <c r="AL40" s="5">
        <f>resultOnlatexABC16Dec24!Z45</f>
        <v>348577.1</v>
      </c>
      <c r="AM40" s="4" t="s">
        <v>100</v>
      </c>
      <c r="AN40" s="4" t="str">
        <f t="shared" si="13"/>
        <v/>
      </c>
      <c r="AO40" s="5">
        <f>resultOnlatexABC16Dec24!AB45</f>
        <v>349022.7</v>
      </c>
      <c r="AP40" s="7" t="str">
        <f t="shared" si="30"/>
        <v/>
      </c>
      <c r="AQ40" s="7" t="s">
        <v>100</v>
      </c>
      <c r="AR40" s="7" t="str">
        <f t="shared" si="31"/>
        <v/>
      </c>
      <c r="AS40" s="5">
        <f>resultOnlatexABC16Dec24!AD45</f>
        <v>349565.61</v>
      </c>
      <c r="AT40" s="7" t="str">
        <f t="shared" si="32"/>
        <v/>
      </c>
      <c r="AU40" s="7" t="s">
        <v>100</v>
      </c>
      <c r="AV40" s="5">
        <f>resultOnlatexABC16Dec24!AF45</f>
        <v>1383.76</v>
      </c>
      <c r="AW40" s="7" t="s">
        <v>100</v>
      </c>
      <c r="AX40" s="5">
        <f>resultOnlatexABC16Dec24!AH45</f>
        <v>349018.5</v>
      </c>
      <c r="AY40" s="6" t="s">
        <v>102</v>
      </c>
      <c r="AZ40" s="8"/>
    </row>
    <row r="41" spans="2:52">
      <c r="B41" s="4" t="s">
        <v>46</v>
      </c>
      <c r="C41" s="4" t="s">
        <v>100</v>
      </c>
      <c r="D41" s="4" t="str">
        <f t="shared" si="17"/>
        <v>\textbf{</v>
      </c>
      <c r="E41" s="5">
        <f>resultOnlatexABC16Dec24!D46</f>
        <v>362918.37</v>
      </c>
      <c r="F41" s="4" t="str">
        <f t="shared" si="4"/>
        <v>}</v>
      </c>
      <c r="G41" s="4" t="s">
        <v>100</v>
      </c>
      <c r="H41" s="4" t="str">
        <f t="shared" si="5"/>
        <v>\textbf{</v>
      </c>
      <c r="I41" s="5">
        <f>resultOnlatexABC16Dec24!F46</f>
        <v>363447.92</v>
      </c>
      <c r="J41" s="4" t="str">
        <f t="shared" si="6"/>
        <v>}</v>
      </c>
      <c r="K41" s="4" t="s">
        <v>100</v>
      </c>
      <c r="L41" s="5">
        <f>resultOnlatexABC16Dec24!H46</f>
        <v>1524.87</v>
      </c>
      <c r="M41" s="4" t="s">
        <v>100</v>
      </c>
      <c r="N41" s="5">
        <f>resultOnlatexABC16Dec24!J46</f>
        <v>362944.5</v>
      </c>
      <c r="O41" s="4" t="s">
        <v>100</v>
      </c>
      <c r="P41" s="4" t="str">
        <f t="shared" si="18"/>
        <v/>
      </c>
      <c r="Q41" s="5">
        <f>resultOnlatexABC16Dec24!L46</f>
        <v>367599.4</v>
      </c>
      <c r="R41" s="4" t="str">
        <f t="shared" si="19"/>
        <v/>
      </c>
      <c r="S41" s="4" t="s">
        <v>100</v>
      </c>
      <c r="T41" s="4" t="str">
        <f t="shared" si="7"/>
        <v/>
      </c>
      <c r="U41" s="5">
        <f>resultOnlatexABC16Dec24!N46</f>
        <v>368369.74</v>
      </c>
      <c r="V41" s="4" t="str">
        <f t="shared" si="20"/>
        <v/>
      </c>
      <c r="W41" s="4" t="s">
        <v>100</v>
      </c>
      <c r="X41" s="5">
        <f>resultOnlatexABC16Dec24!P46</f>
        <v>1477.63</v>
      </c>
      <c r="Y41" s="4" t="s">
        <v>100</v>
      </c>
      <c r="Z41" s="5">
        <f>resultOnlatexABC16Dec24!R46</f>
        <v>367731.1</v>
      </c>
      <c r="AA41" s="4" t="s">
        <v>100</v>
      </c>
      <c r="AB41" s="4" t="str">
        <f t="shared" si="9"/>
        <v/>
      </c>
      <c r="AC41" s="5">
        <f>resultOnlatexABC16Dec24!T46</f>
        <v>364652.3</v>
      </c>
      <c r="AD41" s="4" t="str">
        <f t="shared" si="27"/>
        <v/>
      </c>
      <c r="AE41" s="4" t="s">
        <v>100</v>
      </c>
      <c r="AF41" s="4" t="str">
        <f t="shared" si="28"/>
        <v/>
      </c>
      <c r="AG41" s="5">
        <f>resultOnlatexABC16Dec24!V46</f>
        <v>365122.85</v>
      </c>
      <c r="AH41" s="4" t="str">
        <f t="shared" si="29"/>
        <v/>
      </c>
      <c r="AI41" s="4" t="s">
        <v>100</v>
      </c>
      <c r="AJ41" s="5">
        <f>resultOnlatexABC16Dec24!X46</f>
        <v>1348.24</v>
      </c>
      <c r="AK41" s="4" t="s">
        <v>100</v>
      </c>
      <c r="AL41" s="5">
        <f>resultOnlatexABC16Dec24!Z46</f>
        <v>364685.7</v>
      </c>
      <c r="AM41" s="4" t="s">
        <v>100</v>
      </c>
      <c r="AN41" s="4" t="str">
        <f t="shared" si="13"/>
        <v/>
      </c>
      <c r="AO41" s="5">
        <f>resultOnlatexABC16Dec24!AB46</f>
        <v>365264.9</v>
      </c>
      <c r="AP41" s="7" t="str">
        <f t="shared" si="30"/>
        <v/>
      </c>
      <c r="AQ41" s="7" t="s">
        <v>100</v>
      </c>
      <c r="AR41" s="7" t="str">
        <f t="shared" si="31"/>
        <v/>
      </c>
      <c r="AS41" s="5">
        <f>resultOnlatexABC16Dec24!AD46</f>
        <v>365723.04</v>
      </c>
      <c r="AT41" s="7" t="str">
        <f t="shared" si="32"/>
        <v/>
      </c>
      <c r="AU41" s="7" t="s">
        <v>100</v>
      </c>
      <c r="AV41" s="5">
        <f>resultOnlatexABC16Dec24!AF46</f>
        <v>1234.6600000000001</v>
      </c>
      <c r="AW41" s="7" t="s">
        <v>100</v>
      </c>
      <c r="AX41" s="5">
        <f>resultOnlatexABC16Dec24!AH46</f>
        <v>365307.5</v>
      </c>
      <c r="AY41" s="6" t="s">
        <v>102</v>
      </c>
      <c r="AZ41" s="8"/>
    </row>
    <row r="42" spans="2:52">
      <c r="B42" s="4" t="s">
        <v>47</v>
      </c>
      <c r="C42" s="4" t="s">
        <v>100</v>
      </c>
      <c r="D42" s="4" t="str">
        <f t="shared" si="17"/>
        <v>\textbf{</v>
      </c>
      <c r="E42" s="5">
        <f>resultOnlatexABC16Dec24!D47</f>
        <v>831909.25</v>
      </c>
      <c r="F42" s="4" t="str">
        <f t="shared" si="4"/>
        <v>}</v>
      </c>
      <c r="G42" s="4" t="s">
        <v>100</v>
      </c>
      <c r="H42" s="4" t="str">
        <f t="shared" si="5"/>
        <v>\textbf{</v>
      </c>
      <c r="I42" s="5">
        <f>resultOnlatexABC16Dec24!F47</f>
        <v>832832.34</v>
      </c>
      <c r="J42" s="4" t="str">
        <f t="shared" si="6"/>
        <v>}</v>
      </c>
      <c r="K42" s="4" t="s">
        <v>100</v>
      </c>
      <c r="L42" s="5">
        <f>resultOnlatexABC16Dec24!H47</f>
        <v>1634.2</v>
      </c>
      <c r="M42" s="4" t="s">
        <v>100</v>
      </c>
      <c r="N42" s="5">
        <f>resultOnlatexABC16Dec24!J47</f>
        <v>831868.7</v>
      </c>
      <c r="O42" s="4" t="s">
        <v>100</v>
      </c>
      <c r="P42" s="4" t="str">
        <f t="shared" si="18"/>
        <v/>
      </c>
      <c r="Q42" s="5">
        <f>resultOnlatexABC16Dec24!L47</f>
        <v>837326.8</v>
      </c>
      <c r="R42" s="4" t="str">
        <f t="shared" si="19"/>
        <v/>
      </c>
      <c r="S42" s="4" t="s">
        <v>100</v>
      </c>
      <c r="T42" s="4" t="str">
        <f t="shared" si="7"/>
        <v/>
      </c>
      <c r="U42" s="5">
        <f>resultOnlatexABC16Dec24!N47</f>
        <v>837701.46</v>
      </c>
      <c r="V42" s="4" t="str">
        <f t="shared" si="20"/>
        <v/>
      </c>
      <c r="W42" s="4" t="s">
        <v>100</v>
      </c>
      <c r="X42" s="5">
        <f>resultOnlatexABC16Dec24!P47</f>
        <v>1432.74</v>
      </c>
      <c r="Y42" s="4" t="s">
        <v>100</v>
      </c>
      <c r="Z42" s="5">
        <f>resultOnlatexABC16Dec24!R47</f>
        <v>837337.5</v>
      </c>
      <c r="AA42" s="4" t="s">
        <v>100</v>
      </c>
      <c r="AB42" s="4" t="str">
        <f t="shared" si="9"/>
        <v/>
      </c>
      <c r="AC42" s="5">
        <f>resultOnlatexABC16Dec24!T47</f>
        <v>834484.9</v>
      </c>
      <c r="AD42" s="4" t="str">
        <f t="shared" si="27"/>
        <v/>
      </c>
      <c r="AE42" s="4" t="s">
        <v>100</v>
      </c>
      <c r="AF42" s="4" t="str">
        <f t="shared" si="28"/>
        <v/>
      </c>
      <c r="AG42" s="5">
        <f>resultOnlatexABC16Dec24!V47</f>
        <v>834921.38</v>
      </c>
      <c r="AH42" s="4" t="str">
        <f t="shared" si="29"/>
        <v/>
      </c>
      <c r="AI42" s="4" t="s">
        <v>100</v>
      </c>
      <c r="AJ42" s="5">
        <f>resultOnlatexABC16Dec24!X47</f>
        <v>960.38</v>
      </c>
      <c r="AK42" s="4" t="s">
        <v>100</v>
      </c>
      <c r="AL42" s="5">
        <f>resultOnlatexABC16Dec24!Z47</f>
        <v>834526.2</v>
      </c>
      <c r="AM42" s="4" t="s">
        <v>100</v>
      </c>
      <c r="AN42" s="4" t="str">
        <f t="shared" si="13"/>
        <v/>
      </c>
      <c r="AO42" s="5">
        <f>resultOnlatexABC16Dec24!AB47</f>
        <v>834781.3</v>
      </c>
      <c r="AP42" s="7" t="str">
        <f t="shared" si="30"/>
        <v/>
      </c>
      <c r="AQ42" s="7" t="s">
        <v>100</v>
      </c>
      <c r="AR42" s="7" t="str">
        <f t="shared" si="31"/>
        <v/>
      </c>
      <c r="AS42" s="5">
        <f>resultOnlatexABC16Dec24!AD47</f>
        <v>835140.59</v>
      </c>
      <c r="AT42" s="7" t="str">
        <f t="shared" si="32"/>
        <v/>
      </c>
      <c r="AU42" s="7" t="s">
        <v>100</v>
      </c>
      <c r="AV42" s="5">
        <f>resultOnlatexABC16Dec24!AF47</f>
        <v>1083.29</v>
      </c>
      <c r="AW42" s="7" t="s">
        <v>100</v>
      </c>
      <c r="AX42" s="5">
        <f>resultOnlatexABC16Dec24!AH47</f>
        <v>834841.1</v>
      </c>
      <c r="AY42" s="6" t="s">
        <v>102</v>
      </c>
      <c r="AZ42" s="8"/>
    </row>
    <row r="43" spans="2:52">
      <c r="B43" s="4" t="s">
        <v>48</v>
      </c>
      <c r="C43" s="4" t="s">
        <v>100</v>
      </c>
      <c r="D43" s="4" t="str">
        <f t="shared" si="17"/>
        <v>\textbf{</v>
      </c>
      <c r="E43" s="5">
        <f>resultOnlatexABC16Dec24!D48</f>
        <v>525307.88</v>
      </c>
      <c r="F43" s="4" t="str">
        <f t="shared" si="4"/>
        <v>}</v>
      </c>
      <c r="G43" s="4" t="s">
        <v>100</v>
      </c>
      <c r="H43" s="4" t="str">
        <f t="shared" si="5"/>
        <v>\textbf{</v>
      </c>
      <c r="I43" s="5">
        <f>resultOnlatexABC16Dec24!F48</f>
        <v>526001.26</v>
      </c>
      <c r="J43" s="4" t="str">
        <f t="shared" si="6"/>
        <v>}</v>
      </c>
      <c r="K43" s="4" t="s">
        <v>100</v>
      </c>
      <c r="L43" s="5">
        <f>resultOnlatexABC16Dec24!H48</f>
        <v>1458.18</v>
      </c>
      <c r="M43" s="4" t="s">
        <v>100</v>
      </c>
      <c r="N43" s="5">
        <f>resultOnlatexABC16Dec24!J48</f>
        <v>525345.19999999995</v>
      </c>
      <c r="O43" s="4" t="s">
        <v>100</v>
      </c>
      <c r="P43" s="4" t="str">
        <f t="shared" si="18"/>
        <v/>
      </c>
      <c r="Q43" s="5">
        <f>resultOnlatexABC16Dec24!L48</f>
        <v>530497</v>
      </c>
      <c r="R43" s="4" t="str">
        <f t="shared" si="19"/>
        <v/>
      </c>
      <c r="S43" s="4" t="s">
        <v>100</v>
      </c>
      <c r="T43" s="4" t="str">
        <f t="shared" si="7"/>
        <v/>
      </c>
      <c r="U43" s="5">
        <f>resultOnlatexABC16Dec24!N48</f>
        <v>531500.18999999994</v>
      </c>
      <c r="V43" s="4" t="str">
        <f t="shared" si="20"/>
        <v/>
      </c>
      <c r="W43" s="4" t="s">
        <v>100</v>
      </c>
      <c r="X43" s="5">
        <f>resultOnlatexABC16Dec24!P48</f>
        <v>1509.89</v>
      </c>
      <c r="Y43" s="4" t="s">
        <v>100</v>
      </c>
      <c r="Z43" s="5">
        <f>resultOnlatexABC16Dec24!R48</f>
        <v>530572</v>
      </c>
      <c r="AA43" s="4" t="s">
        <v>100</v>
      </c>
      <c r="AB43" s="4" t="str">
        <f t="shared" si="9"/>
        <v/>
      </c>
      <c r="AC43" s="5">
        <f>resultOnlatexABC16Dec24!T48</f>
        <v>526954.1</v>
      </c>
      <c r="AD43" s="4" t="str">
        <f t="shared" si="27"/>
        <v/>
      </c>
      <c r="AE43" s="4" t="s">
        <v>100</v>
      </c>
      <c r="AF43" s="4" t="str">
        <f t="shared" si="28"/>
        <v/>
      </c>
      <c r="AG43" s="5">
        <f>resultOnlatexABC16Dec24!V48</f>
        <v>528372.5</v>
      </c>
      <c r="AH43" s="4" t="str">
        <f t="shared" si="29"/>
        <v/>
      </c>
      <c r="AI43" s="4" t="s">
        <v>100</v>
      </c>
      <c r="AJ43" s="5">
        <f>resultOnlatexABC16Dec24!X48</f>
        <v>1482.39</v>
      </c>
      <c r="AK43" s="4" t="s">
        <v>100</v>
      </c>
      <c r="AL43" s="5">
        <f>resultOnlatexABC16Dec24!Z48</f>
        <v>526969.4</v>
      </c>
      <c r="AM43" s="4" t="s">
        <v>100</v>
      </c>
      <c r="AN43" s="4" t="str">
        <f t="shared" si="13"/>
        <v/>
      </c>
      <c r="AO43" s="5">
        <f>resultOnlatexABC16Dec24!AB48</f>
        <v>528601.59999999998</v>
      </c>
      <c r="AP43" s="7" t="str">
        <f t="shared" si="30"/>
        <v/>
      </c>
      <c r="AQ43" s="7" t="s">
        <v>100</v>
      </c>
      <c r="AR43" s="7" t="str">
        <f t="shared" si="31"/>
        <v/>
      </c>
      <c r="AS43" s="5">
        <f>resultOnlatexABC16Dec24!AD48</f>
        <v>529398.47</v>
      </c>
      <c r="AT43" s="7" t="str">
        <f t="shared" si="32"/>
        <v/>
      </c>
      <c r="AU43" s="7" t="s">
        <v>100</v>
      </c>
      <c r="AV43" s="5">
        <f>resultOnlatexABC16Dec24!AF48</f>
        <v>1457.71</v>
      </c>
      <c r="AW43" s="7" t="s">
        <v>100</v>
      </c>
      <c r="AX43" s="5">
        <f>resultOnlatexABC16Dec24!AH48</f>
        <v>528718.1</v>
      </c>
      <c r="AY43" s="6" t="s">
        <v>102</v>
      </c>
      <c r="AZ43" s="8"/>
    </row>
    <row r="44" spans="2:52">
      <c r="B44" s="4" t="s">
        <v>49</v>
      </c>
      <c r="C44" s="4" t="s">
        <v>100</v>
      </c>
      <c r="D44" s="4" t="str">
        <f t="shared" si="17"/>
        <v>\textbf{</v>
      </c>
      <c r="E44" s="5">
        <f>resultOnlatexABC16Dec24!D49</f>
        <v>941062.9</v>
      </c>
      <c r="F44" s="4" t="str">
        <f t="shared" si="4"/>
        <v>}</v>
      </c>
      <c r="G44" s="4" t="s">
        <v>100</v>
      </c>
      <c r="H44" s="4" t="str">
        <f t="shared" si="5"/>
        <v>\textbf{</v>
      </c>
      <c r="I44" s="5">
        <f>resultOnlatexABC16Dec24!F49</f>
        <v>942626.92</v>
      </c>
      <c r="J44" s="4" t="str">
        <f t="shared" si="6"/>
        <v>}</v>
      </c>
      <c r="K44" s="4" t="s">
        <v>100</v>
      </c>
      <c r="L44" s="5">
        <f>resultOnlatexABC16Dec24!H49</f>
        <v>1549.87</v>
      </c>
      <c r="M44" s="4" t="s">
        <v>100</v>
      </c>
      <c r="N44" s="5">
        <f>resultOnlatexABC16Dec24!J49</f>
        <v>941083</v>
      </c>
      <c r="O44" s="4" t="s">
        <v>100</v>
      </c>
      <c r="P44" s="4" t="str">
        <f t="shared" si="18"/>
        <v/>
      </c>
      <c r="Q44" s="5">
        <f>resultOnlatexABC16Dec24!L49</f>
        <v>947638</v>
      </c>
      <c r="R44" s="4" t="str">
        <f t="shared" si="19"/>
        <v/>
      </c>
      <c r="S44" s="4" t="s">
        <v>100</v>
      </c>
      <c r="T44" s="4" t="str">
        <f t="shared" si="7"/>
        <v/>
      </c>
      <c r="U44" s="5">
        <f>resultOnlatexABC16Dec24!N49</f>
        <v>949489.93</v>
      </c>
      <c r="V44" s="4" t="str">
        <f t="shared" si="20"/>
        <v/>
      </c>
      <c r="W44" s="4" t="s">
        <v>100</v>
      </c>
      <c r="X44" s="5">
        <f>resultOnlatexABC16Dec24!P49</f>
        <v>1252.79</v>
      </c>
      <c r="Y44" s="4" t="s">
        <v>100</v>
      </c>
      <c r="Z44" s="5">
        <f>resultOnlatexABC16Dec24!R49</f>
        <v>947501.1</v>
      </c>
      <c r="AA44" s="4" t="s">
        <v>100</v>
      </c>
      <c r="AB44" s="4" t="str">
        <f t="shared" si="9"/>
        <v/>
      </c>
      <c r="AC44" s="5">
        <f>resultOnlatexABC16Dec24!T49</f>
        <v>945186.4</v>
      </c>
      <c r="AD44" s="4" t="str">
        <f t="shared" si="27"/>
        <v/>
      </c>
      <c r="AE44" s="4" t="s">
        <v>100</v>
      </c>
      <c r="AF44" s="4" t="str">
        <f t="shared" si="28"/>
        <v/>
      </c>
      <c r="AG44" s="5">
        <f>resultOnlatexABC16Dec24!V49</f>
        <v>946507.62</v>
      </c>
      <c r="AH44" s="4" t="str">
        <f t="shared" si="29"/>
        <v/>
      </c>
      <c r="AI44" s="4" t="s">
        <v>100</v>
      </c>
      <c r="AJ44" s="5">
        <f>resultOnlatexABC16Dec24!X49</f>
        <v>1698.84</v>
      </c>
      <c r="AK44" s="4" t="s">
        <v>100</v>
      </c>
      <c r="AL44" s="5">
        <f>resultOnlatexABC16Dec24!Z49</f>
        <v>945161.8</v>
      </c>
      <c r="AM44" s="4" t="s">
        <v>100</v>
      </c>
      <c r="AN44" s="4" t="str">
        <f t="shared" si="13"/>
        <v/>
      </c>
      <c r="AO44" s="5">
        <f>resultOnlatexABC16Dec24!AB49</f>
        <v>948450.8</v>
      </c>
      <c r="AP44" s="7" t="str">
        <f t="shared" si="30"/>
        <v/>
      </c>
      <c r="AQ44" s="7" t="s">
        <v>100</v>
      </c>
      <c r="AR44" s="7" t="str">
        <f t="shared" si="31"/>
        <v/>
      </c>
      <c r="AS44" s="5">
        <f>resultOnlatexABC16Dec24!AD49</f>
        <v>950365.54</v>
      </c>
      <c r="AT44" s="7" t="str">
        <f t="shared" si="32"/>
        <v/>
      </c>
      <c r="AU44" s="7" t="s">
        <v>100</v>
      </c>
      <c r="AV44" s="5">
        <f>resultOnlatexABC16Dec24!AF49</f>
        <v>2112.1</v>
      </c>
      <c r="AW44" s="7" t="s">
        <v>100</v>
      </c>
      <c r="AX44" s="5">
        <f>resultOnlatexABC16Dec24!AH49</f>
        <v>948426.4</v>
      </c>
      <c r="AY44" s="6" t="s">
        <v>102</v>
      </c>
      <c r="AZ44" s="8"/>
    </row>
    <row r="45" spans="2:52">
      <c r="B45" s="4" t="s">
        <v>50</v>
      </c>
      <c r="C45" s="4" t="s">
        <v>100</v>
      </c>
      <c r="D45" s="4" t="str">
        <f t="shared" si="17"/>
        <v>\textbf{</v>
      </c>
      <c r="E45" s="5">
        <f>resultOnlatexABC16Dec24!D50</f>
        <v>854676.42</v>
      </c>
      <c r="F45" s="4" t="str">
        <f t="shared" si="4"/>
        <v>}</v>
      </c>
      <c r="G45" s="4" t="s">
        <v>100</v>
      </c>
      <c r="H45" s="4" t="str">
        <f t="shared" si="5"/>
        <v>\textbf{</v>
      </c>
      <c r="I45" s="5">
        <f>resultOnlatexABC16Dec24!F50</f>
        <v>855992.45</v>
      </c>
      <c r="J45" s="4" t="str">
        <f t="shared" si="6"/>
        <v>}</v>
      </c>
      <c r="K45" s="4" t="s">
        <v>100</v>
      </c>
      <c r="L45" s="5">
        <f>resultOnlatexABC16Dec24!H50</f>
        <v>1270.8399999999999</v>
      </c>
      <c r="M45" s="4" t="s">
        <v>100</v>
      </c>
      <c r="N45" s="5">
        <f>resultOnlatexABC16Dec24!J50</f>
        <v>854579.7</v>
      </c>
      <c r="O45" s="4" t="s">
        <v>100</v>
      </c>
      <c r="P45" s="4" t="str">
        <f t="shared" si="18"/>
        <v/>
      </c>
      <c r="Q45" s="5">
        <f>resultOnlatexABC16Dec24!L50</f>
        <v>863732</v>
      </c>
      <c r="R45" s="4" t="str">
        <f t="shared" si="19"/>
        <v/>
      </c>
      <c r="S45" s="4" t="s">
        <v>100</v>
      </c>
      <c r="T45" s="4" t="str">
        <f t="shared" si="7"/>
        <v/>
      </c>
      <c r="U45" s="5">
        <f>resultOnlatexABC16Dec24!N50</f>
        <v>865412.77</v>
      </c>
      <c r="V45" s="4" t="str">
        <f t="shared" si="20"/>
        <v/>
      </c>
      <c r="W45" s="4" t="s">
        <v>100</v>
      </c>
      <c r="X45" s="5">
        <f>resultOnlatexABC16Dec24!P50</f>
        <v>1261.69</v>
      </c>
      <c r="Y45" s="4" t="s">
        <v>100</v>
      </c>
      <c r="Z45" s="5">
        <f>resultOnlatexABC16Dec24!R50</f>
        <v>863712.9</v>
      </c>
      <c r="AA45" s="4" t="s">
        <v>100</v>
      </c>
      <c r="AB45" s="4" t="str">
        <f t="shared" si="9"/>
        <v/>
      </c>
      <c r="AC45" s="5">
        <f>resultOnlatexABC16Dec24!T50</f>
        <v>859524.4</v>
      </c>
      <c r="AD45" s="4" t="str">
        <f t="shared" si="27"/>
        <v/>
      </c>
      <c r="AE45" s="4" t="s">
        <v>100</v>
      </c>
      <c r="AF45" s="4" t="str">
        <f t="shared" si="28"/>
        <v/>
      </c>
      <c r="AG45" s="5">
        <f>resultOnlatexABC16Dec24!V50</f>
        <v>861357.24</v>
      </c>
      <c r="AH45" s="4" t="str">
        <f t="shared" si="29"/>
        <v/>
      </c>
      <c r="AI45" s="4" t="s">
        <v>100</v>
      </c>
      <c r="AJ45" s="5">
        <f>resultOnlatexABC16Dec24!X50</f>
        <v>1643.17</v>
      </c>
      <c r="AK45" s="4" t="s">
        <v>100</v>
      </c>
      <c r="AL45" s="5">
        <f>resultOnlatexABC16Dec24!Z50</f>
        <v>859605.8</v>
      </c>
      <c r="AM45" s="4" t="s">
        <v>100</v>
      </c>
      <c r="AN45" s="4" t="str">
        <f t="shared" si="13"/>
        <v/>
      </c>
      <c r="AO45" s="5">
        <f>resultOnlatexABC16Dec24!AB50</f>
        <v>862870.8</v>
      </c>
      <c r="AP45" s="7" t="str">
        <f t="shared" si="30"/>
        <v/>
      </c>
      <c r="AQ45" s="7" t="s">
        <v>100</v>
      </c>
      <c r="AR45" s="7" t="str">
        <f t="shared" si="31"/>
        <v/>
      </c>
      <c r="AS45" s="5">
        <f>resultOnlatexABC16Dec24!AD50</f>
        <v>868942.56</v>
      </c>
      <c r="AT45" s="7" t="str">
        <f t="shared" si="32"/>
        <v/>
      </c>
      <c r="AU45" s="7" t="s">
        <v>100</v>
      </c>
      <c r="AV45" s="5">
        <f>resultOnlatexABC16Dec24!AF50</f>
        <v>2076.85</v>
      </c>
      <c r="AW45" s="7" t="s">
        <v>100</v>
      </c>
      <c r="AX45" s="5">
        <f>resultOnlatexABC16Dec24!AH50</f>
        <v>862824.6</v>
      </c>
      <c r="AY45" s="6" t="s">
        <v>102</v>
      </c>
      <c r="AZ45" s="8"/>
    </row>
    <row r="46" spans="2:52">
      <c r="B46" s="4" t="s">
        <v>51</v>
      </c>
      <c r="C46" s="4" t="s">
        <v>100</v>
      </c>
      <c r="D46" s="4" t="str">
        <f t="shared" si="17"/>
        <v>\textbf{</v>
      </c>
      <c r="E46" s="5">
        <f>resultOnlatexABC16Dec24!D51</f>
        <v>1821242.07</v>
      </c>
      <c r="F46" s="4" t="str">
        <f t="shared" si="4"/>
        <v>}</v>
      </c>
      <c r="G46" s="4" t="s">
        <v>100</v>
      </c>
      <c r="H46" s="4" t="str">
        <f t="shared" si="5"/>
        <v>\textbf{</v>
      </c>
      <c r="I46" s="5">
        <f>resultOnlatexABC16Dec24!F51</f>
        <v>1821761.9</v>
      </c>
      <c r="J46" s="4" t="str">
        <f t="shared" si="6"/>
        <v>}</v>
      </c>
      <c r="K46" s="4" t="s">
        <v>100</v>
      </c>
      <c r="L46" s="5">
        <f>resultOnlatexABC16Dec24!H51</f>
        <v>1352.98</v>
      </c>
      <c r="M46" s="4" t="s">
        <v>100</v>
      </c>
      <c r="N46" s="5">
        <f>resultOnlatexABC16Dec24!J51</f>
        <v>1821201.3</v>
      </c>
      <c r="O46" s="4" t="s">
        <v>100</v>
      </c>
      <c r="P46" s="4" t="str">
        <f t="shared" si="18"/>
        <v/>
      </c>
      <c r="Q46" s="5">
        <f>resultOnlatexABC16Dec24!L51</f>
        <v>1830213.9</v>
      </c>
      <c r="R46" s="4" t="str">
        <f t="shared" si="19"/>
        <v/>
      </c>
      <c r="S46" s="4" t="s">
        <v>100</v>
      </c>
      <c r="T46" s="4" t="str">
        <f t="shared" si="7"/>
        <v/>
      </c>
      <c r="U46" s="5">
        <f>resultOnlatexABC16Dec24!N51</f>
        <v>1833855.27</v>
      </c>
      <c r="V46" s="4" t="str">
        <f t="shared" si="20"/>
        <v/>
      </c>
      <c r="W46" s="4" t="s">
        <v>100</v>
      </c>
      <c r="X46" s="5">
        <f>resultOnlatexABC16Dec24!P51</f>
        <v>1210.27</v>
      </c>
      <c r="Y46" s="4" t="s">
        <v>100</v>
      </c>
      <c r="Z46" s="5">
        <f>resultOnlatexABC16Dec24!R51</f>
        <v>1830054.3</v>
      </c>
      <c r="AA46" s="4" t="s">
        <v>100</v>
      </c>
      <c r="AB46" s="4" t="str">
        <f t="shared" si="9"/>
        <v/>
      </c>
      <c r="AC46" s="5">
        <f>resultOnlatexABC16Dec24!T51</f>
        <v>1832637.2</v>
      </c>
      <c r="AD46" s="4" t="str">
        <f t="shared" si="27"/>
        <v/>
      </c>
      <c r="AE46" s="4" t="s">
        <v>100</v>
      </c>
      <c r="AF46" s="4" t="str">
        <f t="shared" si="28"/>
        <v/>
      </c>
      <c r="AG46" s="5">
        <f>resultOnlatexABC16Dec24!V51</f>
        <v>1835033.09</v>
      </c>
      <c r="AH46" s="4" t="str">
        <f t="shared" si="29"/>
        <v/>
      </c>
      <c r="AI46" s="4" t="s">
        <v>100</v>
      </c>
      <c r="AJ46" s="5">
        <f>resultOnlatexABC16Dec24!X51</f>
        <v>2701.61</v>
      </c>
      <c r="AK46" s="4" t="s">
        <v>100</v>
      </c>
      <c r="AL46" s="5">
        <f>resultOnlatexABC16Dec24!Z51</f>
        <v>1832562.4</v>
      </c>
      <c r="AM46" s="4" t="s">
        <v>100</v>
      </c>
      <c r="AN46" s="4" t="str">
        <f t="shared" si="13"/>
        <v/>
      </c>
      <c r="AO46" s="5">
        <f>resultOnlatexABC16Dec24!AB51</f>
        <v>1832637.2</v>
      </c>
      <c r="AP46" s="7" t="str">
        <f t="shared" si="30"/>
        <v/>
      </c>
      <c r="AQ46" s="7" t="s">
        <v>100</v>
      </c>
      <c r="AR46" s="7" t="str">
        <f>IF(AS46=MIN(I46,U46,AG46,AS46),"\textbf{","")</f>
        <v/>
      </c>
      <c r="AS46" s="5">
        <f>resultOnlatexABC16Dec24!AD51</f>
        <v>1835033.09</v>
      </c>
      <c r="AT46" s="7" t="str">
        <f t="shared" si="32"/>
        <v/>
      </c>
      <c r="AU46" s="7" t="s">
        <v>100</v>
      </c>
      <c r="AV46" s="5">
        <f>resultOnlatexABC16Dec24!AF51</f>
        <v>4131.08</v>
      </c>
      <c r="AW46" s="7" t="s">
        <v>100</v>
      </c>
      <c r="AX46" s="5">
        <f>resultOnlatexABC16Dec24!AH51</f>
        <v>1832562.4</v>
      </c>
      <c r="AY46" s="6" t="s">
        <v>102</v>
      </c>
      <c r="AZ46" s="8"/>
    </row>
    <row r="47" spans="2:52">
      <c r="B47" s="4" t="s">
        <v>52</v>
      </c>
      <c r="C47" s="4" t="s">
        <v>100</v>
      </c>
      <c r="D47" s="4" t="str">
        <f t="shared" si="17"/>
        <v>\textbf{</v>
      </c>
      <c r="E47" s="5">
        <f>resultOnlatexABC16Dec24!D52</f>
        <v>1337100.24</v>
      </c>
      <c r="F47" s="4" t="str">
        <f t="shared" si="4"/>
        <v>}</v>
      </c>
      <c r="G47" s="4" t="s">
        <v>100</v>
      </c>
      <c r="H47" s="4" t="str">
        <f t="shared" si="5"/>
        <v>\textbf{</v>
      </c>
      <c r="I47" s="5">
        <f>resultOnlatexABC16Dec24!F52</f>
        <v>1337628.8700000001</v>
      </c>
      <c r="J47" s="4" t="str">
        <f t="shared" si="6"/>
        <v>}</v>
      </c>
      <c r="K47" s="4" t="s">
        <v>100</v>
      </c>
      <c r="L47" s="5">
        <f>resultOnlatexABC16Dec24!H52</f>
        <v>1037.56</v>
      </c>
      <c r="M47" s="4" t="s">
        <v>100</v>
      </c>
      <c r="N47" s="5">
        <f>resultOnlatexABC16Dec24!J52</f>
        <v>1336938.5</v>
      </c>
      <c r="O47" s="4" t="s">
        <v>100</v>
      </c>
      <c r="P47" s="4" t="str">
        <f t="shared" si="18"/>
        <v/>
      </c>
      <c r="Q47" s="5">
        <f>resultOnlatexABC16Dec24!L52</f>
        <v>1350149.6</v>
      </c>
      <c r="R47" s="4" t="str">
        <f t="shared" si="19"/>
        <v/>
      </c>
      <c r="S47" s="4" t="s">
        <v>100</v>
      </c>
      <c r="T47" s="4" t="str">
        <f t="shared" si="7"/>
        <v/>
      </c>
      <c r="U47" s="5">
        <f>resultOnlatexABC16Dec24!N52</f>
        <v>1350599.24</v>
      </c>
      <c r="V47" s="4" t="str">
        <f t="shared" si="20"/>
        <v/>
      </c>
      <c r="W47" s="4" t="s">
        <v>100</v>
      </c>
      <c r="X47" s="5">
        <f>resultOnlatexABC16Dec24!P52</f>
        <v>1050.54</v>
      </c>
      <c r="Y47" s="4" t="s">
        <v>100</v>
      </c>
      <c r="Z47" s="5">
        <f>resultOnlatexABC16Dec24!R52</f>
        <v>1350184.9</v>
      </c>
      <c r="AA47" s="4" t="s">
        <v>100</v>
      </c>
      <c r="AB47" s="4" t="str">
        <f t="shared" si="9"/>
        <v/>
      </c>
      <c r="AC47" s="5">
        <f>resultOnlatexABC16Dec24!T52</f>
        <v>1357838.9</v>
      </c>
      <c r="AD47" s="4" t="str">
        <f t="shared" si="27"/>
        <v/>
      </c>
      <c r="AE47" s="4" t="s">
        <v>100</v>
      </c>
      <c r="AF47" s="4" t="str">
        <f t="shared" si="28"/>
        <v/>
      </c>
      <c r="AG47" s="5">
        <f>resultOnlatexABC16Dec24!V52</f>
        <v>1360622.79</v>
      </c>
      <c r="AH47" s="4" t="str">
        <f t="shared" si="29"/>
        <v/>
      </c>
      <c r="AI47" s="4" t="s">
        <v>100</v>
      </c>
      <c r="AJ47" s="5">
        <f>resultOnlatexABC16Dec24!X52</f>
        <v>2731.44</v>
      </c>
      <c r="AK47" s="4" t="s">
        <v>100</v>
      </c>
      <c r="AL47" s="5">
        <f>resultOnlatexABC16Dec24!Z52</f>
        <v>1357784.3</v>
      </c>
      <c r="AM47" s="4" t="s">
        <v>100</v>
      </c>
      <c r="AN47" s="4" t="str">
        <f t="shared" si="13"/>
        <v/>
      </c>
      <c r="AO47" s="5">
        <f>resultOnlatexABC16Dec24!AB52</f>
        <v>1357838.9</v>
      </c>
      <c r="AP47" s="7" t="str">
        <f t="shared" si="30"/>
        <v/>
      </c>
      <c r="AQ47" s="7" t="s">
        <v>100</v>
      </c>
      <c r="AR47" s="7" t="str">
        <f t="shared" si="31"/>
        <v/>
      </c>
      <c r="AS47" s="5">
        <f>resultOnlatexABC16Dec24!AD52</f>
        <v>1360622.79</v>
      </c>
      <c r="AT47" s="7" t="str">
        <f t="shared" si="32"/>
        <v/>
      </c>
      <c r="AU47" s="7" t="s">
        <v>100</v>
      </c>
      <c r="AV47" s="5">
        <f>resultOnlatexABC16Dec24!AF52</f>
        <v>5116.7299999999996</v>
      </c>
      <c r="AW47" s="7" t="s">
        <v>100</v>
      </c>
      <c r="AX47" s="5">
        <f>resultOnlatexABC16Dec24!AH52</f>
        <v>1357784.3</v>
      </c>
      <c r="AY47" s="6" t="s">
        <v>102</v>
      </c>
      <c r="AZ47" s="8"/>
    </row>
    <row r="48" spans="2:52">
      <c r="B48" s="4" t="s">
        <v>53</v>
      </c>
      <c r="C48" s="4" t="s">
        <v>100</v>
      </c>
      <c r="D48" s="4" t="str">
        <f t="shared" si="17"/>
        <v>\textbf{</v>
      </c>
      <c r="E48" s="5">
        <f>resultOnlatexABC16Dec24!D53</f>
        <v>2620042.08</v>
      </c>
      <c r="F48" s="4" t="str">
        <f t="shared" si="4"/>
        <v>}</v>
      </c>
      <c r="G48" s="4" t="s">
        <v>100</v>
      </c>
      <c r="H48" s="4" t="str">
        <f t="shared" si="5"/>
        <v>\textbf{</v>
      </c>
      <c r="I48" s="5">
        <f>resultOnlatexABC16Dec24!F53</f>
        <v>2622073.9300000002</v>
      </c>
      <c r="J48" s="4" t="str">
        <f t="shared" si="6"/>
        <v>}</v>
      </c>
      <c r="K48" s="4" t="s">
        <v>100</v>
      </c>
      <c r="L48" s="5">
        <f>resultOnlatexABC16Dec24!H53</f>
        <v>1191.52</v>
      </c>
      <c r="M48" s="4" t="s">
        <v>100</v>
      </c>
      <c r="N48" s="5">
        <f>resultOnlatexABC16Dec24!J53</f>
        <v>2620083.7000000002</v>
      </c>
      <c r="O48" s="4" t="s">
        <v>100</v>
      </c>
      <c r="P48" s="4" t="str">
        <f t="shared" si="18"/>
        <v/>
      </c>
      <c r="Q48" s="5">
        <f>resultOnlatexABC16Dec24!L53</f>
        <v>2635733.5</v>
      </c>
      <c r="R48" s="4" t="str">
        <f t="shared" si="19"/>
        <v/>
      </c>
      <c r="S48" s="4" t="s">
        <v>100</v>
      </c>
      <c r="T48" s="4" t="str">
        <f t="shared" si="7"/>
        <v/>
      </c>
      <c r="U48" s="5">
        <f>resultOnlatexABC16Dec24!N53</f>
        <v>2638722.98</v>
      </c>
      <c r="V48" s="4" t="str">
        <f t="shared" si="20"/>
        <v/>
      </c>
      <c r="W48" s="4" t="s">
        <v>100</v>
      </c>
      <c r="X48" s="5">
        <f>resultOnlatexABC16Dec24!P53</f>
        <v>844.81</v>
      </c>
      <c r="Y48" s="4" t="s">
        <v>100</v>
      </c>
      <c r="Z48" s="5">
        <f>resultOnlatexABC16Dec24!R53</f>
        <v>2635621.6</v>
      </c>
      <c r="AA48" s="4" t="s">
        <v>100</v>
      </c>
      <c r="AB48" s="4" t="str">
        <f t="shared" si="9"/>
        <v/>
      </c>
      <c r="AC48" s="5">
        <f>resultOnlatexABC16Dec24!T53</f>
        <v>2648080.6</v>
      </c>
      <c r="AD48" s="4" t="str">
        <f t="shared" si="27"/>
        <v/>
      </c>
      <c r="AE48" s="4" t="s">
        <v>100</v>
      </c>
      <c r="AF48" s="4" t="str">
        <f t="shared" si="28"/>
        <v/>
      </c>
      <c r="AG48" s="5">
        <f>resultOnlatexABC16Dec24!V53</f>
        <v>2652663.79</v>
      </c>
      <c r="AH48" s="4" t="str">
        <f t="shared" si="29"/>
        <v/>
      </c>
      <c r="AI48" s="4" t="s">
        <v>100</v>
      </c>
      <c r="AJ48" s="5">
        <f>resultOnlatexABC16Dec24!X53</f>
        <v>9165.07</v>
      </c>
      <c r="AK48" s="4" t="s">
        <v>100</v>
      </c>
      <c r="AL48" s="5">
        <f>resultOnlatexABC16Dec24!Z53</f>
        <v>2647936.2999999998</v>
      </c>
      <c r="AM48" s="4" t="s">
        <v>100</v>
      </c>
      <c r="AN48" s="4" t="str">
        <f t="shared" si="13"/>
        <v/>
      </c>
      <c r="AO48" s="5">
        <f>resultOnlatexABC16Dec24!AB53</f>
        <v>2648080.6</v>
      </c>
      <c r="AP48" s="7" t="str">
        <f t="shared" si="30"/>
        <v/>
      </c>
      <c r="AQ48" s="7" t="s">
        <v>100</v>
      </c>
      <c r="AR48" s="7" t="str">
        <f t="shared" si="31"/>
        <v/>
      </c>
      <c r="AS48" s="5">
        <f>resultOnlatexABC16Dec24!AD53</f>
        <v>2652663.79</v>
      </c>
      <c r="AT48" s="7" t="str">
        <f t="shared" si="32"/>
        <v/>
      </c>
      <c r="AU48" s="7" t="s">
        <v>100</v>
      </c>
      <c r="AV48" s="5">
        <f>resultOnlatexABC16Dec24!AF53</f>
        <v>18134.400000000001</v>
      </c>
      <c r="AW48" s="7" t="s">
        <v>100</v>
      </c>
      <c r="AX48" s="5">
        <f>resultOnlatexABC16Dec24!AH53</f>
        <v>2647936.2999999998</v>
      </c>
      <c r="AY48" s="6" t="s">
        <v>102</v>
      </c>
      <c r="AZ48" s="8"/>
    </row>
    <row r="49" spans="2:52">
      <c r="B49" s="4" t="s">
        <v>54</v>
      </c>
      <c r="C49" s="4" t="s">
        <v>100</v>
      </c>
      <c r="D49" s="4" t="str">
        <f t="shared" si="17"/>
        <v>\textbf{</v>
      </c>
      <c r="E49" s="5">
        <f>resultOnlatexABC16Dec24!D54</f>
        <v>2525547.2400000002</v>
      </c>
      <c r="F49" s="4" t="str">
        <f t="shared" si="4"/>
        <v>}</v>
      </c>
      <c r="G49" s="4" t="s">
        <v>100</v>
      </c>
      <c r="H49" s="4" t="str">
        <f t="shared" si="5"/>
        <v>\textbf{</v>
      </c>
      <c r="I49" s="5">
        <f>resultOnlatexABC16Dec24!F54</f>
        <v>2531717.2400000002</v>
      </c>
      <c r="J49" s="4" t="str">
        <f t="shared" si="6"/>
        <v>}</v>
      </c>
      <c r="K49" s="4" t="s">
        <v>100</v>
      </c>
      <c r="L49" s="5">
        <f>resultOnlatexABC16Dec24!H54</f>
        <v>1294.6199999999999</v>
      </c>
      <c r="M49" s="4" t="s">
        <v>100</v>
      </c>
      <c r="N49" s="5">
        <f>resultOnlatexABC16Dec24!J54</f>
        <v>2525141.9</v>
      </c>
      <c r="O49" s="4" t="s">
        <v>100</v>
      </c>
      <c r="P49" s="4" t="str">
        <f t="shared" si="18"/>
        <v/>
      </c>
      <c r="Q49" s="5">
        <f>resultOnlatexABC16Dec24!L54</f>
        <v>2542112.9</v>
      </c>
      <c r="R49" s="4" t="str">
        <f t="shared" si="19"/>
        <v/>
      </c>
      <c r="S49" s="4" t="s">
        <v>100</v>
      </c>
      <c r="T49" s="4" t="str">
        <f t="shared" si="7"/>
        <v/>
      </c>
      <c r="U49" s="5">
        <f>resultOnlatexABC16Dec24!N54</f>
        <v>2545782.69</v>
      </c>
      <c r="V49" s="4" t="str">
        <f t="shared" si="20"/>
        <v/>
      </c>
      <c r="W49" s="4" t="s">
        <v>100</v>
      </c>
      <c r="X49" s="5">
        <f>resultOnlatexABC16Dec24!P54</f>
        <v>1304.1199999999999</v>
      </c>
      <c r="Y49" s="4" t="s">
        <v>100</v>
      </c>
      <c r="Z49" s="5">
        <f>resultOnlatexABC16Dec24!R54</f>
        <v>2542001</v>
      </c>
      <c r="AA49" s="4" t="s">
        <v>100</v>
      </c>
      <c r="AB49" s="4" t="str">
        <f t="shared" si="9"/>
        <v/>
      </c>
      <c r="AC49" s="5">
        <f>resultOnlatexABC16Dec24!T54</f>
        <v>2602788.2999999998</v>
      </c>
      <c r="AD49" s="4" t="str">
        <f t="shared" si="27"/>
        <v/>
      </c>
      <c r="AE49" s="4" t="s">
        <v>100</v>
      </c>
      <c r="AF49" s="4" t="str">
        <f t="shared" si="28"/>
        <v/>
      </c>
      <c r="AG49" s="5">
        <f>resultOnlatexABC16Dec24!V54</f>
        <v>2618073.13</v>
      </c>
      <c r="AH49" s="4" t="str">
        <f t="shared" si="29"/>
        <v/>
      </c>
      <c r="AI49" s="4" t="s">
        <v>100</v>
      </c>
      <c r="AJ49" s="5">
        <f>resultOnlatexABC16Dec24!X54</f>
        <v>7228.62</v>
      </c>
      <c r="AK49" s="4" t="s">
        <v>100</v>
      </c>
      <c r="AL49" s="5">
        <f>resultOnlatexABC16Dec24!Z54</f>
        <v>2602501.2000000002</v>
      </c>
      <c r="AM49" s="4" t="s">
        <v>100</v>
      </c>
      <c r="AN49" s="4" t="str">
        <f t="shared" si="13"/>
        <v/>
      </c>
      <c r="AO49" s="5">
        <f>resultOnlatexABC16Dec24!AB54</f>
        <v>2602788.2999999998</v>
      </c>
      <c r="AP49" s="7" t="str">
        <f t="shared" si="30"/>
        <v/>
      </c>
      <c r="AQ49" s="7" t="s">
        <v>100</v>
      </c>
      <c r="AR49" s="7" t="str">
        <f t="shared" si="31"/>
        <v/>
      </c>
      <c r="AS49" s="5">
        <f>resultOnlatexABC16Dec24!AD54</f>
        <v>2618089.71</v>
      </c>
      <c r="AT49" s="7" t="str">
        <f t="shared" si="32"/>
        <v/>
      </c>
      <c r="AU49" s="7" t="s">
        <v>100</v>
      </c>
      <c r="AV49" s="5">
        <f>resultOnlatexABC16Dec24!AF54</f>
        <v>17918.78</v>
      </c>
      <c r="AW49" s="7" t="s">
        <v>100</v>
      </c>
      <c r="AX49" s="5">
        <f>resultOnlatexABC16Dec24!AH54</f>
        <v>2602501.2000000002</v>
      </c>
      <c r="AY49" s="6" t="s">
        <v>102</v>
      </c>
      <c r="AZ49" s="8"/>
    </row>
    <row r="50" spans="2:52">
      <c r="E50" s="5"/>
      <c r="I50" s="5"/>
      <c r="L50" s="5"/>
      <c r="N50" s="5"/>
      <c r="Q50" s="5"/>
      <c r="U50" s="5"/>
      <c r="X50" s="5"/>
      <c r="Z50" s="5"/>
      <c r="AC50" s="5"/>
      <c r="AG50" s="5"/>
      <c r="AJ50" s="5"/>
      <c r="AL50" s="5"/>
      <c r="AO50" s="5"/>
      <c r="AP50" s="7"/>
      <c r="AQ50" s="7"/>
      <c r="AR50" s="7"/>
      <c r="AS50" s="5"/>
      <c r="AT50" s="7"/>
      <c r="AU50" s="7"/>
      <c r="AV50" s="5"/>
      <c r="AW50" s="7"/>
      <c r="AX50" s="5"/>
      <c r="AY50" s="6"/>
      <c r="AZ50" s="8"/>
    </row>
    <row r="51" spans="2:52">
      <c r="B51" s="4" t="s">
        <v>55</v>
      </c>
      <c r="C51" s="4" t="s">
        <v>100</v>
      </c>
      <c r="D51" s="4" t="str">
        <f t="shared" ref="D51:D74" si="33">IF(E51=MIN(E51,Q51,AC51,AO51),"\textbf{","")</f>
        <v>\textbf{</v>
      </c>
      <c r="E51" s="5">
        <f>resultOnlatexABC16Dec24!D56</f>
        <v>43.81</v>
      </c>
      <c r="F51" s="4" t="str">
        <f t="shared" si="4"/>
        <v>}</v>
      </c>
      <c r="G51" s="4" t="s">
        <v>100</v>
      </c>
      <c r="H51" s="4" t="str">
        <f t="shared" si="5"/>
        <v>\textbf{</v>
      </c>
      <c r="I51" s="5">
        <f>resultOnlatexABC16Dec24!F56</f>
        <v>47.11</v>
      </c>
      <c r="J51" s="4" t="str">
        <f t="shared" si="6"/>
        <v>}</v>
      </c>
      <c r="K51" s="4" t="s">
        <v>100</v>
      </c>
      <c r="L51" s="5">
        <f>resultOnlatexABC16Dec24!H56</f>
        <v>960.01</v>
      </c>
      <c r="M51" s="4" t="s">
        <v>100</v>
      </c>
      <c r="N51" s="5">
        <f>resultOnlatexABC16Dec24!J56</f>
        <v>51.2</v>
      </c>
      <c r="O51" s="4" t="s">
        <v>100</v>
      </c>
      <c r="P51" s="4" t="str">
        <f t="shared" ref="P51:P74" si="34">IF(Q51=MIN(E51,Q51,AC51,AO51),"\textbf{","")</f>
        <v/>
      </c>
      <c r="Q51" s="5">
        <f>resultOnlatexABC16Dec24!L56</f>
        <v>441.8</v>
      </c>
      <c r="R51" s="4" t="str">
        <f t="shared" ref="R51:R74" si="35">IF(Q51=MIN(E51,Q51,AC51,AO51),"}","")</f>
        <v/>
      </c>
      <c r="S51" s="4" t="s">
        <v>100</v>
      </c>
      <c r="T51" s="4" t="str">
        <f t="shared" si="7"/>
        <v/>
      </c>
      <c r="U51" s="5">
        <f>resultOnlatexABC16Dec24!N56</f>
        <v>516.21</v>
      </c>
      <c r="V51" s="4" t="str">
        <f t="shared" si="20"/>
        <v/>
      </c>
      <c r="W51" s="4" t="s">
        <v>100</v>
      </c>
      <c r="X51" s="5">
        <f>resultOnlatexABC16Dec24!P56</f>
        <v>1009.39</v>
      </c>
      <c r="Y51" s="4" t="s">
        <v>100</v>
      </c>
      <c r="Z51" s="5">
        <f>resultOnlatexABC16Dec24!R56</f>
        <v>438.9</v>
      </c>
      <c r="AA51" s="4" t="s">
        <v>100</v>
      </c>
      <c r="AB51" s="4" t="str">
        <f t="shared" si="9"/>
        <v/>
      </c>
      <c r="AC51" s="5">
        <f>resultOnlatexABC16Dec24!T56</f>
        <v>44.7</v>
      </c>
      <c r="AD51" s="4" t="str">
        <f t="shared" ref="AD51" si="36">IF(AC51=MIN(E51,Q51,AC51,AO51),"}","")</f>
        <v/>
      </c>
      <c r="AE51" s="4" t="s">
        <v>100</v>
      </c>
      <c r="AF51" s="4" t="str">
        <f t="shared" ref="AF51" si="37">IF(AG51=MIN(I51,U51,AG51,AS51),"\textbf{","")</f>
        <v/>
      </c>
      <c r="AG51" s="5">
        <f>resultOnlatexABC16Dec24!V56</f>
        <v>50.84</v>
      </c>
      <c r="AH51" s="4" t="str">
        <f t="shared" ref="AH51" si="38">IF(AG51=MIN(I51,U51,AG51,AS51),"}","")</f>
        <v/>
      </c>
      <c r="AI51" s="4" t="s">
        <v>100</v>
      </c>
      <c r="AJ51" s="5">
        <f>resultOnlatexABC16Dec24!X56</f>
        <v>621.41999999999996</v>
      </c>
      <c r="AK51" s="4" t="s">
        <v>100</v>
      </c>
      <c r="AL51" s="5">
        <f>resultOnlatexABC16Dec24!Z56</f>
        <v>46</v>
      </c>
      <c r="AM51" s="4" t="s">
        <v>100</v>
      </c>
      <c r="AN51" s="4" t="str">
        <f t="shared" si="13"/>
        <v/>
      </c>
      <c r="AO51" s="5">
        <f>resultOnlatexABC16Dec24!AB56</f>
        <v>44.7</v>
      </c>
      <c r="AP51" s="7" t="str">
        <f t="shared" ref="AP51:AP73" si="39">IF(AO51=MIN(E51,Q51,AC51,AO51),"}","")</f>
        <v/>
      </c>
      <c r="AQ51" s="7" t="s">
        <v>100</v>
      </c>
      <c r="AR51" s="7" t="str">
        <f t="shared" ref="AR51:AR73" si="40">IF(AS51=MIN(I51,U51,AG51,AS51),"\textbf{","")</f>
        <v/>
      </c>
      <c r="AS51" s="5">
        <f>resultOnlatexABC16Dec24!AD56</f>
        <v>50.84</v>
      </c>
      <c r="AT51" s="7" t="str">
        <f t="shared" ref="AT51:AT73" si="41">IF(AS51=MIN(I51,U51,AG51,AS51),"}","")</f>
        <v/>
      </c>
      <c r="AU51" s="7" t="s">
        <v>100</v>
      </c>
      <c r="AV51" s="5">
        <f>resultOnlatexABC16Dec24!AF56</f>
        <v>614.26</v>
      </c>
      <c r="AW51" s="7" t="s">
        <v>100</v>
      </c>
      <c r="AX51" s="5">
        <f>resultOnlatexABC16Dec24!AH56</f>
        <v>46</v>
      </c>
      <c r="AY51" s="6" t="s">
        <v>102</v>
      </c>
      <c r="AZ51" s="8"/>
    </row>
    <row r="52" spans="2:52">
      <c r="B52" s="4" t="s">
        <v>56</v>
      </c>
      <c r="C52" s="4" t="s">
        <v>100</v>
      </c>
      <c r="D52" s="4" t="str">
        <f t="shared" si="33"/>
        <v/>
      </c>
      <c r="E52" s="5">
        <f>resultOnlatexABC16Dec24!D57</f>
        <v>17</v>
      </c>
      <c r="F52" s="4" t="str">
        <f t="shared" si="4"/>
        <v/>
      </c>
      <c r="G52" s="4" t="s">
        <v>100</v>
      </c>
      <c r="H52" s="4" t="str">
        <f t="shared" si="5"/>
        <v>\textbf{</v>
      </c>
      <c r="I52" s="5">
        <f>resultOnlatexABC16Dec24!F57</f>
        <v>19.7</v>
      </c>
      <c r="J52" s="4" t="str">
        <f t="shared" si="6"/>
        <v>}</v>
      </c>
      <c r="K52" s="4" t="s">
        <v>100</v>
      </c>
      <c r="L52" s="5">
        <f>resultOnlatexABC16Dec24!H57</f>
        <v>1023</v>
      </c>
      <c r="M52" s="4" t="s">
        <v>100</v>
      </c>
      <c r="N52" s="5">
        <f>resultOnlatexABC16Dec24!J57</f>
        <v>23.2</v>
      </c>
      <c r="O52" s="4" t="s">
        <v>100</v>
      </c>
      <c r="P52" s="4" t="str">
        <f t="shared" si="34"/>
        <v/>
      </c>
      <c r="Q52" s="5">
        <f>resultOnlatexABC16Dec24!L57</f>
        <v>167.4</v>
      </c>
      <c r="R52" s="4" t="str">
        <f t="shared" si="35"/>
        <v/>
      </c>
      <c r="S52" s="4" t="s">
        <v>100</v>
      </c>
      <c r="T52" s="4" t="str">
        <f t="shared" si="7"/>
        <v/>
      </c>
      <c r="U52" s="5">
        <f>resultOnlatexABC16Dec24!N57</f>
        <v>225.56</v>
      </c>
      <c r="V52" s="4" t="str">
        <f t="shared" si="20"/>
        <v/>
      </c>
      <c r="W52" s="4" t="s">
        <v>100</v>
      </c>
      <c r="X52" s="5">
        <f>resultOnlatexABC16Dec24!P57</f>
        <v>830.12</v>
      </c>
      <c r="Y52" s="4" t="s">
        <v>100</v>
      </c>
      <c r="Z52" s="5">
        <f>resultOnlatexABC16Dec24!R57</f>
        <v>175.3</v>
      </c>
      <c r="AA52" s="4" t="s">
        <v>100</v>
      </c>
      <c r="AB52" s="4" t="str">
        <f t="shared" si="9"/>
        <v/>
      </c>
      <c r="AC52" s="5">
        <f>resultOnlatexABC16Dec24!T57</f>
        <v>17</v>
      </c>
      <c r="AD52" s="4" t="str">
        <f>IF(AC52=MIN(E52,Q52,AC52,AO52),"}","")</f>
        <v/>
      </c>
      <c r="AE52" s="4" t="s">
        <v>100</v>
      </c>
      <c r="AF52" s="4" t="str">
        <f>IF(AG52=MIN(I52,U52,AG52,AS52),"\textbf{","")</f>
        <v/>
      </c>
      <c r="AG52" s="5">
        <f>resultOnlatexABC16Dec24!V57</f>
        <v>25.25</v>
      </c>
      <c r="AH52" s="4" t="str">
        <f>IF(AG52=MIN(I52,U52,AG52,AS52),"}","")</f>
        <v/>
      </c>
      <c r="AI52" s="4" t="s">
        <v>100</v>
      </c>
      <c r="AJ52" s="5">
        <f>resultOnlatexABC16Dec24!X57</f>
        <v>641.5</v>
      </c>
      <c r="AK52" s="4" t="s">
        <v>100</v>
      </c>
      <c r="AL52" s="5">
        <f>resultOnlatexABC16Dec24!Z57</f>
        <v>23.2</v>
      </c>
      <c r="AM52" s="4" t="s">
        <v>100</v>
      </c>
      <c r="AN52" s="4" t="str">
        <f t="shared" si="13"/>
        <v>\textbf{</v>
      </c>
      <c r="AO52" s="5">
        <f>resultOnlatexABC16Dec24!AB57</f>
        <v>16</v>
      </c>
      <c r="AP52" s="7" t="str">
        <f t="shared" si="39"/>
        <v>}</v>
      </c>
      <c r="AQ52" s="7" t="s">
        <v>100</v>
      </c>
      <c r="AR52" s="7" t="str">
        <f t="shared" si="40"/>
        <v/>
      </c>
      <c r="AS52" s="5">
        <f>resultOnlatexABC16Dec24!AD57</f>
        <v>23.85</v>
      </c>
      <c r="AT52" s="7" t="str">
        <f t="shared" si="41"/>
        <v/>
      </c>
      <c r="AU52" s="7" t="s">
        <v>100</v>
      </c>
      <c r="AV52" s="5">
        <f>resultOnlatexABC16Dec24!AF57</f>
        <v>949.34</v>
      </c>
      <c r="AW52" s="7" t="s">
        <v>100</v>
      </c>
      <c r="AX52" s="5">
        <f>resultOnlatexABC16Dec24!AH57</f>
        <v>20.100000000000001</v>
      </c>
      <c r="AY52" s="6" t="s">
        <v>102</v>
      </c>
      <c r="AZ52" s="8"/>
    </row>
    <row r="53" spans="2:52">
      <c r="B53" s="4" t="s">
        <v>57</v>
      </c>
      <c r="C53" s="4" t="s">
        <v>100</v>
      </c>
      <c r="D53" s="4" t="str">
        <f t="shared" si="33"/>
        <v>\textbf{</v>
      </c>
      <c r="E53" s="5">
        <f>resultOnlatexABC16Dec24!D58</f>
        <v>8264.02</v>
      </c>
      <c r="F53" s="4" t="str">
        <f t="shared" si="4"/>
        <v>}</v>
      </c>
      <c r="G53" s="4" t="s">
        <v>100</v>
      </c>
      <c r="H53" s="4" t="str">
        <f t="shared" si="5"/>
        <v>\textbf{</v>
      </c>
      <c r="I53" s="5">
        <f>resultOnlatexABC16Dec24!F58</f>
        <v>8342.8799999999992</v>
      </c>
      <c r="J53" s="4" t="str">
        <f t="shared" si="6"/>
        <v>}</v>
      </c>
      <c r="K53" s="4" t="s">
        <v>100</v>
      </c>
      <c r="L53" s="5">
        <f>resultOnlatexABC16Dec24!H58</f>
        <v>297.22000000000003</v>
      </c>
      <c r="M53" s="4" t="s">
        <v>100</v>
      </c>
      <c r="N53" s="5">
        <f>resultOnlatexABC16Dec24!J58</f>
        <v>8288.9</v>
      </c>
      <c r="O53" s="4" t="s">
        <v>100</v>
      </c>
      <c r="P53" s="4" t="str">
        <f t="shared" si="34"/>
        <v/>
      </c>
      <c r="Q53" s="5">
        <f>resultOnlatexABC16Dec24!L58</f>
        <v>8612.6</v>
      </c>
      <c r="R53" s="4" t="str">
        <f t="shared" si="35"/>
        <v/>
      </c>
      <c r="S53" s="4" t="s">
        <v>100</v>
      </c>
      <c r="T53" s="4" t="str">
        <f t="shared" si="7"/>
        <v/>
      </c>
      <c r="U53" s="5">
        <f>resultOnlatexABC16Dec24!N58</f>
        <v>8635.48</v>
      </c>
      <c r="V53" s="4" t="str">
        <f t="shared" si="20"/>
        <v/>
      </c>
      <c r="W53" s="4" t="s">
        <v>100</v>
      </c>
      <c r="X53" s="5">
        <f>resultOnlatexABC16Dec24!P58</f>
        <v>486.64</v>
      </c>
      <c r="Y53" s="4" t="s">
        <v>100</v>
      </c>
      <c r="Z53" s="5">
        <f>resultOnlatexABC16Dec24!R58</f>
        <v>8636.1</v>
      </c>
      <c r="AA53" s="4" t="s">
        <v>100</v>
      </c>
      <c r="AB53" s="4" t="str">
        <f t="shared" si="9"/>
        <v/>
      </c>
      <c r="AC53" s="5">
        <f>resultOnlatexABC16Dec24!T58</f>
        <v>8328.7999999999993</v>
      </c>
      <c r="AD53" s="4" t="str">
        <f t="shared" ref="AD53:AD74" si="42">IF(AC53=MIN(E53,Q53,AC53,AO53),"}","")</f>
        <v/>
      </c>
      <c r="AE53" s="4" t="s">
        <v>100</v>
      </c>
      <c r="AF53" s="4" t="str">
        <f t="shared" ref="AF53:AF74" si="43">IF(AG53=MIN(I53,U53,AG53,AS53),"\textbf{","")</f>
        <v/>
      </c>
      <c r="AG53" s="5">
        <f>resultOnlatexABC16Dec24!V58</f>
        <v>8493.82</v>
      </c>
      <c r="AH53" s="4" t="str">
        <f t="shared" ref="AH53:AH74" si="44">IF(AG53=MIN(I53,U53,AG53,AS53),"}","")</f>
        <v/>
      </c>
      <c r="AI53" s="4" t="s">
        <v>100</v>
      </c>
      <c r="AJ53" s="5">
        <f>resultOnlatexABC16Dec24!X58</f>
        <v>416.89</v>
      </c>
      <c r="AK53" s="4" t="s">
        <v>100</v>
      </c>
      <c r="AL53" s="5">
        <f>resultOnlatexABC16Dec24!Z58</f>
        <v>8284.2999999999993</v>
      </c>
      <c r="AM53" s="4" t="s">
        <v>100</v>
      </c>
      <c r="AN53" s="4" t="str">
        <f t="shared" si="13"/>
        <v/>
      </c>
      <c r="AO53" s="5">
        <f>resultOnlatexABC16Dec24!AB58</f>
        <v>8278.9</v>
      </c>
      <c r="AP53" s="7" t="str">
        <f t="shared" si="39"/>
        <v/>
      </c>
      <c r="AQ53" s="7" t="s">
        <v>100</v>
      </c>
      <c r="AR53" s="7" t="str">
        <f t="shared" si="40"/>
        <v/>
      </c>
      <c r="AS53" s="5">
        <f>resultOnlatexABC16Dec24!AD58</f>
        <v>8461.5300000000007</v>
      </c>
      <c r="AT53" s="7" t="str">
        <f t="shared" si="41"/>
        <v/>
      </c>
      <c r="AU53" s="7" t="s">
        <v>100</v>
      </c>
      <c r="AV53" s="5">
        <f>resultOnlatexABC16Dec24!AF58</f>
        <v>491.07</v>
      </c>
      <c r="AW53" s="7" t="s">
        <v>100</v>
      </c>
      <c r="AX53" s="5">
        <f>resultOnlatexABC16Dec24!AH58</f>
        <v>8287.4</v>
      </c>
      <c r="AY53" s="6" t="s">
        <v>102</v>
      </c>
      <c r="AZ53" s="8"/>
    </row>
    <row r="54" spans="2:52">
      <c r="B54" s="4" t="s">
        <v>58</v>
      </c>
      <c r="C54" s="4" t="s">
        <v>100</v>
      </c>
      <c r="D54" s="4" t="str">
        <f t="shared" si="33"/>
        <v>\textbf{</v>
      </c>
      <c r="E54" s="5">
        <f>resultOnlatexABC16Dec24!D59</f>
        <v>374.6</v>
      </c>
      <c r="F54" s="4" t="str">
        <f t="shared" si="4"/>
        <v>}</v>
      </c>
      <c r="G54" s="4" t="s">
        <v>100</v>
      </c>
      <c r="H54" s="4" t="str">
        <f t="shared" si="5"/>
        <v>\textbf{</v>
      </c>
      <c r="I54" s="5">
        <f>resultOnlatexABC16Dec24!F59</f>
        <v>604.75</v>
      </c>
      <c r="J54" s="4" t="str">
        <f t="shared" si="6"/>
        <v>}</v>
      </c>
      <c r="K54" s="4" t="s">
        <v>100</v>
      </c>
      <c r="L54" s="5">
        <f>resultOnlatexABC16Dec24!H59</f>
        <v>907.73</v>
      </c>
      <c r="M54" s="4" t="s">
        <v>100</v>
      </c>
      <c r="N54" s="5">
        <f>resultOnlatexABC16Dec24!J59</f>
        <v>353.4</v>
      </c>
      <c r="O54" s="4" t="s">
        <v>100</v>
      </c>
      <c r="P54" s="4" t="str">
        <f t="shared" si="34"/>
        <v/>
      </c>
      <c r="Q54" s="5">
        <f>resultOnlatexABC16Dec24!L59</f>
        <v>1626.6</v>
      </c>
      <c r="R54" s="4" t="str">
        <f t="shared" si="35"/>
        <v/>
      </c>
      <c r="S54" s="4" t="s">
        <v>100</v>
      </c>
      <c r="T54" s="4" t="str">
        <f t="shared" si="7"/>
        <v/>
      </c>
      <c r="U54" s="5">
        <f>resultOnlatexABC16Dec24!N59</f>
        <v>1763.2</v>
      </c>
      <c r="V54" s="4" t="str">
        <f t="shared" si="20"/>
        <v/>
      </c>
      <c r="W54" s="4" t="s">
        <v>100</v>
      </c>
      <c r="X54" s="5">
        <f>resultOnlatexABC16Dec24!P59</f>
        <v>790.16</v>
      </c>
      <c r="Y54" s="4" t="s">
        <v>100</v>
      </c>
      <c r="Z54" s="5">
        <f>resultOnlatexABC16Dec24!R59</f>
        <v>1607</v>
      </c>
      <c r="AA54" s="4" t="s">
        <v>100</v>
      </c>
      <c r="AB54" s="4" t="str">
        <f t="shared" si="9"/>
        <v/>
      </c>
      <c r="AC54" s="5">
        <f>resultOnlatexABC16Dec24!T59</f>
        <v>529.9</v>
      </c>
      <c r="AD54" s="4" t="str">
        <f t="shared" si="42"/>
        <v/>
      </c>
      <c r="AE54" s="4" t="s">
        <v>100</v>
      </c>
      <c r="AF54" s="4" t="str">
        <f t="shared" si="43"/>
        <v/>
      </c>
      <c r="AG54" s="5">
        <f>resultOnlatexABC16Dec24!V59</f>
        <v>714.94</v>
      </c>
      <c r="AH54" s="4" t="str">
        <f t="shared" si="44"/>
        <v/>
      </c>
      <c r="AI54" s="4" t="s">
        <v>100</v>
      </c>
      <c r="AJ54" s="5">
        <f>resultOnlatexABC16Dec24!X59</f>
        <v>924.88</v>
      </c>
      <c r="AK54" s="4" t="s">
        <v>100</v>
      </c>
      <c r="AL54" s="5">
        <f>resultOnlatexABC16Dec24!Z59</f>
        <v>508.7</v>
      </c>
      <c r="AM54" s="4" t="s">
        <v>100</v>
      </c>
      <c r="AN54" s="4" t="str">
        <f t="shared" si="13"/>
        <v/>
      </c>
      <c r="AO54" s="5">
        <f>resultOnlatexABC16Dec24!AB59</f>
        <v>580.6</v>
      </c>
      <c r="AP54" s="7" t="str">
        <f t="shared" si="39"/>
        <v/>
      </c>
      <c r="AQ54" s="7" t="s">
        <v>100</v>
      </c>
      <c r="AR54" s="7" t="str">
        <f t="shared" si="40"/>
        <v/>
      </c>
      <c r="AS54" s="5">
        <f>resultOnlatexABC16Dec24!AD59</f>
        <v>749.93</v>
      </c>
      <c r="AT54" s="7" t="str">
        <f t="shared" si="41"/>
        <v/>
      </c>
      <c r="AU54" s="7" t="s">
        <v>100</v>
      </c>
      <c r="AV54" s="5">
        <f>resultOnlatexABC16Dec24!AF59</f>
        <v>921.61</v>
      </c>
      <c r="AW54" s="7" t="s">
        <v>100</v>
      </c>
      <c r="AX54" s="5">
        <f>resultOnlatexABC16Dec24!AH59</f>
        <v>560.1</v>
      </c>
      <c r="AY54" s="6" t="s">
        <v>102</v>
      </c>
      <c r="AZ54" s="8"/>
    </row>
    <row r="55" spans="2:52">
      <c r="B55" s="4" t="s">
        <v>59</v>
      </c>
      <c r="C55" s="4" t="s">
        <v>100</v>
      </c>
      <c r="D55" s="4" t="str">
        <f t="shared" si="33"/>
        <v/>
      </c>
      <c r="E55" s="5">
        <f>resultOnlatexABC16Dec24!D60</f>
        <v>29764.93</v>
      </c>
      <c r="F55" s="4" t="str">
        <f t="shared" si="4"/>
        <v/>
      </c>
      <c r="G55" s="4" t="s">
        <v>100</v>
      </c>
      <c r="H55" s="4" t="str">
        <f t="shared" si="5"/>
        <v/>
      </c>
      <c r="I55" s="5">
        <f>resultOnlatexABC16Dec24!F60</f>
        <v>30018.93</v>
      </c>
      <c r="J55" s="4" t="str">
        <f t="shared" si="6"/>
        <v/>
      </c>
      <c r="K55" s="4" t="s">
        <v>100</v>
      </c>
      <c r="L55" s="5">
        <f>resultOnlatexABC16Dec24!H60</f>
        <v>784.09</v>
      </c>
      <c r="M55" s="4" t="s">
        <v>100</v>
      </c>
      <c r="N55" s="5">
        <f>resultOnlatexABC16Dec24!J60</f>
        <v>29791.1</v>
      </c>
      <c r="O55" s="4" t="s">
        <v>100</v>
      </c>
      <c r="P55" s="4" t="str">
        <f t="shared" si="34"/>
        <v/>
      </c>
      <c r="Q55" s="5">
        <f>resultOnlatexABC16Dec24!L60</f>
        <v>29627.7</v>
      </c>
      <c r="R55" s="4" t="str">
        <f t="shared" si="35"/>
        <v/>
      </c>
      <c r="S55" s="4" t="s">
        <v>100</v>
      </c>
      <c r="T55" s="4" t="str">
        <f t="shared" si="7"/>
        <v/>
      </c>
      <c r="U55" s="5">
        <f>resultOnlatexABC16Dec24!N60</f>
        <v>30074.67</v>
      </c>
      <c r="V55" s="4" t="str">
        <f t="shared" si="20"/>
        <v/>
      </c>
      <c r="W55" s="4" t="s">
        <v>100</v>
      </c>
      <c r="X55" s="5">
        <f>resultOnlatexABC16Dec24!P60</f>
        <v>894.39</v>
      </c>
      <c r="Y55" s="4" t="s">
        <v>100</v>
      </c>
      <c r="Z55" s="5">
        <f>resultOnlatexABC16Dec24!R60</f>
        <v>29690.9</v>
      </c>
      <c r="AA55" s="4" t="s">
        <v>100</v>
      </c>
      <c r="AB55" s="4" t="str">
        <f t="shared" si="9"/>
        <v/>
      </c>
      <c r="AC55" s="5">
        <f>resultOnlatexABC16Dec24!T60</f>
        <v>29626.5</v>
      </c>
      <c r="AD55" s="4" t="str">
        <f t="shared" si="42"/>
        <v/>
      </c>
      <c r="AE55" s="4" t="s">
        <v>100</v>
      </c>
      <c r="AF55" s="4" t="str">
        <f t="shared" si="43"/>
        <v/>
      </c>
      <c r="AG55" s="5">
        <f>resultOnlatexABC16Dec24!V60</f>
        <v>29980.62</v>
      </c>
      <c r="AH55" s="4" t="str">
        <f t="shared" si="44"/>
        <v/>
      </c>
      <c r="AI55" s="4" t="s">
        <v>100</v>
      </c>
      <c r="AJ55" s="5">
        <f>resultOnlatexABC16Dec24!X60</f>
        <v>1066.67</v>
      </c>
      <c r="AK55" s="4" t="s">
        <v>100</v>
      </c>
      <c r="AL55" s="5">
        <f>resultOnlatexABC16Dec24!Z60</f>
        <v>29695.5</v>
      </c>
      <c r="AM55" s="4" t="s">
        <v>100</v>
      </c>
      <c r="AN55" s="4" t="str">
        <f t="shared" si="13"/>
        <v>\textbf{</v>
      </c>
      <c r="AO55" s="5">
        <f>resultOnlatexABC16Dec24!AB60</f>
        <v>29625.200000000001</v>
      </c>
      <c r="AP55" s="7" t="str">
        <f t="shared" si="39"/>
        <v>}</v>
      </c>
      <c r="AQ55" s="7" t="s">
        <v>100</v>
      </c>
      <c r="AR55" s="7" t="str">
        <f t="shared" si="40"/>
        <v>\textbf{</v>
      </c>
      <c r="AS55" s="5">
        <f>resultOnlatexABC16Dec24!AD60</f>
        <v>29957.52</v>
      </c>
      <c r="AT55" s="7" t="str">
        <f t="shared" si="41"/>
        <v>}</v>
      </c>
      <c r="AU55" s="7" t="s">
        <v>100</v>
      </c>
      <c r="AV55" s="5">
        <f>resultOnlatexABC16Dec24!AF60</f>
        <v>1112.56</v>
      </c>
      <c r="AW55" s="7" t="s">
        <v>100</v>
      </c>
      <c r="AX55" s="5">
        <f>resultOnlatexABC16Dec24!AH60</f>
        <v>29702</v>
      </c>
      <c r="AY55" s="6" t="s">
        <v>102</v>
      </c>
      <c r="AZ55" s="8"/>
    </row>
    <row r="56" spans="2:52">
      <c r="B56" s="4" t="s">
        <v>60</v>
      </c>
      <c r="C56" s="4" t="s">
        <v>100</v>
      </c>
      <c r="D56" s="4" t="str">
        <f t="shared" si="33"/>
        <v>\textbf{</v>
      </c>
      <c r="E56" s="5">
        <f>resultOnlatexABC16Dec24!D61</f>
        <v>5248.03</v>
      </c>
      <c r="F56" s="4" t="str">
        <f t="shared" si="4"/>
        <v>}</v>
      </c>
      <c r="G56" s="4" t="s">
        <v>100</v>
      </c>
      <c r="H56" s="4" t="str">
        <f t="shared" si="5"/>
        <v>\textbf{</v>
      </c>
      <c r="I56" s="5">
        <f>resultOnlatexABC16Dec24!F61</f>
        <v>5707.41</v>
      </c>
      <c r="J56" s="4" t="str">
        <f t="shared" si="6"/>
        <v>}</v>
      </c>
      <c r="K56" s="4" t="s">
        <v>100</v>
      </c>
      <c r="L56" s="5">
        <f>resultOnlatexABC16Dec24!H61</f>
        <v>305.23</v>
      </c>
      <c r="M56" s="4" t="s">
        <v>100</v>
      </c>
      <c r="N56" s="5">
        <f>resultOnlatexABC16Dec24!J61</f>
        <v>5193.2</v>
      </c>
      <c r="O56" s="4" t="s">
        <v>100</v>
      </c>
      <c r="P56" s="4" t="str">
        <f t="shared" si="34"/>
        <v/>
      </c>
      <c r="Q56" s="5">
        <f>resultOnlatexABC16Dec24!L61</f>
        <v>5724.4</v>
      </c>
      <c r="R56" s="4" t="str">
        <f t="shared" si="35"/>
        <v/>
      </c>
      <c r="S56" s="4" t="s">
        <v>100</v>
      </c>
      <c r="T56" s="4" t="str">
        <f t="shared" si="7"/>
        <v/>
      </c>
      <c r="U56" s="5">
        <f>resultOnlatexABC16Dec24!N61</f>
        <v>5940.66</v>
      </c>
      <c r="V56" s="4" t="str">
        <f t="shared" si="20"/>
        <v/>
      </c>
      <c r="W56" s="4" t="s">
        <v>100</v>
      </c>
      <c r="X56" s="5">
        <f>resultOnlatexABC16Dec24!P61</f>
        <v>1204.43</v>
      </c>
      <c r="Y56" s="4" t="s">
        <v>100</v>
      </c>
      <c r="Z56" s="5">
        <f>resultOnlatexABC16Dec24!R61</f>
        <v>5685.2</v>
      </c>
      <c r="AA56" s="4" t="s">
        <v>100</v>
      </c>
      <c r="AB56" s="4" t="str">
        <f t="shared" si="9"/>
        <v/>
      </c>
      <c r="AC56" s="5">
        <f>resultOnlatexABC16Dec24!T61</f>
        <v>5363.9</v>
      </c>
      <c r="AD56" s="4" t="str">
        <f t="shared" si="42"/>
        <v/>
      </c>
      <c r="AE56" s="4" t="s">
        <v>100</v>
      </c>
      <c r="AF56" s="4" t="str">
        <f t="shared" si="43"/>
        <v/>
      </c>
      <c r="AG56" s="5">
        <f>resultOnlatexABC16Dec24!V61</f>
        <v>5826.31</v>
      </c>
      <c r="AH56" s="4" t="str">
        <f t="shared" si="44"/>
        <v/>
      </c>
      <c r="AI56" s="4" t="s">
        <v>100</v>
      </c>
      <c r="AJ56" s="5">
        <f>resultOnlatexABC16Dec24!X61</f>
        <v>279.39</v>
      </c>
      <c r="AK56" s="4" t="s">
        <v>100</v>
      </c>
      <c r="AL56" s="5">
        <f>resultOnlatexABC16Dec24!Z61</f>
        <v>5346.3</v>
      </c>
      <c r="AM56" s="4" t="s">
        <v>100</v>
      </c>
      <c r="AN56" s="4" t="str">
        <f t="shared" si="13"/>
        <v/>
      </c>
      <c r="AO56" s="5">
        <f>resultOnlatexABC16Dec24!AB61</f>
        <v>5363.9</v>
      </c>
      <c r="AP56" s="7" t="str">
        <f t="shared" si="39"/>
        <v/>
      </c>
      <c r="AQ56" s="7" t="s">
        <v>100</v>
      </c>
      <c r="AR56" s="7" t="str">
        <f t="shared" si="40"/>
        <v/>
      </c>
      <c r="AS56" s="5">
        <f>resultOnlatexABC16Dec24!AD61</f>
        <v>5826.31</v>
      </c>
      <c r="AT56" s="7" t="str">
        <f t="shared" si="41"/>
        <v/>
      </c>
      <c r="AU56" s="7" t="s">
        <v>100</v>
      </c>
      <c r="AV56" s="5">
        <f>resultOnlatexABC16Dec24!AF61</f>
        <v>326.69</v>
      </c>
      <c r="AW56" s="7" t="s">
        <v>100</v>
      </c>
      <c r="AX56" s="5">
        <f>resultOnlatexABC16Dec24!AH61</f>
        <v>5346.3</v>
      </c>
      <c r="AY56" s="6" t="s">
        <v>102</v>
      </c>
      <c r="AZ56" s="8"/>
    </row>
    <row r="57" spans="2:52">
      <c r="B57" s="4" t="s">
        <v>61</v>
      </c>
      <c r="C57" s="4" t="s">
        <v>100</v>
      </c>
      <c r="D57" s="4" t="str">
        <f t="shared" si="33"/>
        <v/>
      </c>
      <c r="E57" s="5">
        <f>resultOnlatexABC16Dec24!D62</f>
        <v>82328.800000000003</v>
      </c>
      <c r="F57" s="4" t="str">
        <f t="shared" si="4"/>
        <v/>
      </c>
      <c r="G57" s="4" t="s">
        <v>100</v>
      </c>
      <c r="H57" s="4" t="str">
        <f t="shared" si="5"/>
        <v>\textbf{</v>
      </c>
      <c r="I57" s="5">
        <f>resultOnlatexABC16Dec24!F62</f>
        <v>82564.929999999993</v>
      </c>
      <c r="J57" s="4" t="str">
        <f t="shared" si="6"/>
        <v>}</v>
      </c>
      <c r="K57" s="4" t="s">
        <v>100</v>
      </c>
      <c r="L57" s="5">
        <f>resultOnlatexABC16Dec24!H62</f>
        <v>1060.08</v>
      </c>
      <c r="M57" s="4" t="s">
        <v>100</v>
      </c>
      <c r="N57" s="5">
        <f>resultOnlatexABC16Dec24!J62</f>
        <v>82390.3</v>
      </c>
      <c r="O57" s="4" t="s">
        <v>100</v>
      </c>
      <c r="P57" s="4" t="str">
        <f t="shared" si="34"/>
        <v/>
      </c>
      <c r="Q57" s="5">
        <f>resultOnlatexABC16Dec24!L62</f>
        <v>82469.8</v>
      </c>
      <c r="R57" s="4" t="str">
        <f t="shared" si="35"/>
        <v/>
      </c>
      <c r="S57" s="4" t="s">
        <v>100</v>
      </c>
      <c r="T57" s="4" t="str">
        <f t="shared" si="7"/>
        <v/>
      </c>
      <c r="U57" s="5">
        <f>resultOnlatexABC16Dec24!N62</f>
        <v>82834.12</v>
      </c>
      <c r="V57" s="4" t="str">
        <f t="shared" si="20"/>
        <v/>
      </c>
      <c r="W57" s="4" t="s">
        <v>100</v>
      </c>
      <c r="X57" s="5">
        <f>resultOnlatexABC16Dec24!P62</f>
        <v>916.44</v>
      </c>
      <c r="Y57" s="4" t="s">
        <v>100</v>
      </c>
      <c r="Z57" s="5">
        <f>resultOnlatexABC16Dec24!R62</f>
        <v>82567.7</v>
      </c>
      <c r="AA57" s="4" t="s">
        <v>100</v>
      </c>
      <c r="AB57" s="4" t="str">
        <f t="shared" si="9"/>
        <v>\textbf{</v>
      </c>
      <c r="AC57" s="5">
        <f>resultOnlatexABC16Dec24!T62</f>
        <v>82114.8</v>
      </c>
      <c r="AD57" s="4" t="str">
        <f t="shared" si="42"/>
        <v>}</v>
      </c>
      <c r="AE57" s="4" t="s">
        <v>100</v>
      </c>
      <c r="AF57" s="4" t="str">
        <f t="shared" si="43"/>
        <v/>
      </c>
      <c r="AG57" s="5">
        <f>resultOnlatexABC16Dec24!V62</f>
        <v>82734.59</v>
      </c>
      <c r="AH57" s="4" t="str">
        <f t="shared" si="44"/>
        <v/>
      </c>
      <c r="AI57" s="4" t="s">
        <v>100</v>
      </c>
      <c r="AJ57" s="5">
        <f>resultOnlatexABC16Dec24!X62</f>
        <v>887.57</v>
      </c>
      <c r="AK57" s="4" t="s">
        <v>100</v>
      </c>
      <c r="AL57" s="5">
        <f>resultOnlatexABC16Dec24!Z62</f>
        <v>82179.399999999994</v>
      </c>
      <c r="AM57" s="4" t="s">
        <v>100</v>
      </c>
      <c r="AN57" s="4" t="str">
        <f t="shared" si="13"/>
        <v>\textbf{</v>
      </c>
      <c r="AO57" s="5">
        <f>resultOnlatexABC16Dec24!AB62</f>
        <v>82114.8</v>
      </c>
      <c r="AP57" s="7" t="str">
        <f t="shared" si="39"/>
        <v>}</v>
      </c>
      <c r="AQ57" s="7" t="s">
        <v>100</v>
      </c>
      <c r="AR57" s="7" t="str">
        <f t="shared" si="40"/>
        <v/>
      </c>
      <c r="AS57" s="5">
        <f>resultOnlatexABC16Dec24!AD62</f>
        <v>82771.58</v>
      </c>
      <c r="AT57" s="7" t="str">
        <f t="shared" si="41"/>
        <v/>
      </c>
      <c r="AU57" s="7" t="s">
        <v>100</v>
      </c>
      <c r="AV57" s="5">
        <f>resultOnlatexABC16Dec24!AF62</f>
        <v>866.42</v>
      </c>
      <c r="AW57" s="7" t="s">
        <v>100</v>
      </c>
      <c r="AX57" s="5">
        <f>resultOnlatexABC16Dec24!AH62</f>
        <v>82179.399999999994</v>
      </c>
      <c r="AY57" s="6" t="s">
        <v>102</v>
      </c>
      <c r="AZ57" s="8"/>
    </row>
    <row r="58" spans="2:52">
      <c r="B58" s="4" t="s">
        <v>62</v>
      </c>
      <c r="C58" s="4" t="s">
        <v>100</v>
      </c>
      <c r="D58" s="4" t="str">
        <f t="shared" si="33"/>
        <v/>
      </c>
      <c r="E58" s="5">
        <f>resultOnlatexABC16Dec24!D63</f>
        <v>43721.55</v>
      </c>
      <c r="F58" s="4" t="str">
        <f t="shared" si="4"/>
        <v/>
      </c>
      <c r="G58" s="4" t="s">
        <v>100</v>
      </c>
      <c r="H58" s="4" t="str">
        <f t="shared" si="5"/>
        <v>\textbf{</v>
      </c>
      <c r="I58" s="5">
        <f>resultOnlatexABC16Dec24!F63</f>
        <v>44134.35</v>
      </c>
      <c r="J58" s="4" t="str">
        <f t="shared" si="6"/>
        <v>}</v>
      </c>
      <c r="K58" s="4" t="s">
        <v>100</v>
      </c>
      <c r="L58" s="5">
        <f>resultOnlatexABC16Dec24!H63</f>
        <v>1488.81</v>
      </c>
      <c r="M58" s="4" t="s">
        <v>100</v>
      </c>
      <c r="N58" s="5">
        <f>resultOnlatexABC16Dec24!J63</f>
        <v>43829.2</v>
      </c>
      <c r="O58" s="4" t="s">
        <v>100</v>
      </c>
      <c r="P58" s="4" t="str">
        <f t="shared" si="34"/>
        <v/>
      </c>
      <c r="Q58" s="5">
        <f>resultOnlatexABC16Dec24!L63</f>
        <v>45434.5</v>
      </c>
      <c r="R58" s="4" t="str">
        <f t="shared" si="35"/>
        <v/>
      </c>
      <c r="S58" s="4" t="s">
        <v>100</v>
      </c>
      <c r="T58" s="4" t="str">
        <f t="shared" si="7"/>
        <v/>
      </c>
      <c r="U58" s="5">
        <f>resultOnlatexABC16Dec24!N63</f>
        <v>45700.05</v>
      </c>
      <c r="V58" s="4" t="str">
        <f t="shared" si="20"/>
        <v/>
      </c>
      <c r="W58" s="4" t="s">
        <v>100</v>
      </c>
      <c r="X58" s="5">
        <f>resultOnlatexABC16Dec24!P63</f>
        <v>1065.52</v>
      </c>
      <c r="Y58" s="4" t="s">
        <v>100</v>
      </c>
      <c r="Z58" s="5">
        <f>resultOnlatexABC16Dec24!R63</f>
        <v>45533.9</v>
      </c>
      <c r="AA58" s="4" t="s">
        <v>100</v>
      </c>
      <c r="AB58" s="4" t="str">
        <f t="shared" si="9"/>
        <v>\textbf{</v>
      </c>
      <c r="AC58" s="5">
        <f>resultOnlatexABC16Dec24!T63</f>
        <v>43713.2</v>
      </c>
      <c r="AD58" s="4" t="str">
        <f t="shared" si="42"/>
        <v>}</v>
      </c>
      <c r="AE58" s="4" t="s">
        <v>100</v>
      </c>
      <c r="AF58" s="4" t="str">
        <f t="shared" si="43"/>
        <v/>
      </c>
      <c r="AG58" s="5">
        <f>resultOnlatexABC16Dec24!V63</f>
        <v>44182.29</v>
      </c>
      <c r="AH58" s="4" t="str">
        <f t="shared" si="44"/>
        <v/>
      </c>
      <c r="AI58" s="4" t="s">
        <v>100</v>
      </c>
      <c r="AJ58" s="5">
        <f>resultOnlatexABC16Dec24!X63</f>
        <v>1202.75</v>
      </c>
      <c r="AK58" s="4" t="s">
        <v>100</v>
      </c>
      <c r="AL58" s="5">
        <f>resultOnlatexABC16Dec24!Z63</f>
        <v>43800</v>
      </c>
      <c r="AM58" s="4" t="s">
        <v>100</v>
      </c>
      <c r="AN58" s="4" t="str">
        <f t="shared" si="13"/>
        <v/>
      </c>
      <c r="AO58" s="5">
        <f>resultOnlatexABC16Dec24!AB63</f>
        <v>43850.8</v>
      </c>
      <c r="AP58" s="7" t="str">
        <f t="shared" si="39"/>
        <v/>
      </c>
      <c r="AQ58" s="7" t="s">
        <v>100</v>
      </c>
      <c r="AR58" s="7" t="str">
        <f t="shared" si="40"/>
        <v/>
      </c>
      <c r="AS58" s="5">
        <f>resultOnlatexABC16Dec24!AD63</f>
        <v>44405.43</v>
      </c>
      <c r="AT58" s="7" t="str">
        <f t="shared" si="41"/>
        <v/>
      </c>
      <c r="AU58" s="7" t="s">
        <v>100</v>
      </c>
      <c r="AV58" s="5">
        <f>resultOnlatexABC16Dec24!AF63</f>
        <v>1578.22</v>
      </c>
      <c r="AW58" s="7" t="s">
        <v>100</v>
      </c>
      <c r="AX58" s="5">
        <f>resultOnlatexABC16Dec24!AH63</f>
        <v>43906.6</v>
      </c>
      <c r="AY58" s="6" t="s">
        <v>102</v>
      </c>
      <c r="AZ58" s="8"/>
    </row>
    <row r="59" spans="2:52">
      <c r="B59" s="4" t="s">
        <v>63</v>
      </c>
      <c r="C59" s="4" t="s">
        <v>100</v>
      </c>
      <c r="D59" s="4" t="str">
        <f t="shared" si="33"/>
        <v/>
      </c>
      <c r="E59" s="5">
        <f>resultOnlatexABC16Dec24!D64</f>
        <v>121351.14</v>
      </c>
      <c r="F59" s="4" t="str">
        <f t="shared" si="4"/>
        <v/>
      </c>
      <c r="G59" s="4" t="s">
        <v>100</v>
      </c>
      <c r="H59" s="4" t="str">
        <f t="shared" si="5"/>
        <v/>
      </c>
      <c r="I59" s="5">
        <f>resultOnlatexABC16Dec24!F64</f>
        <v>122520.48</v>
      </c>
      <c r="J59" s="4" t="str">
        <f t="shared" si="6"/>
        <v/>
      </c>
      <c r="K59" s="4" t="s">
        <v>100</v>
      </c>
      <c r="L59" s="5">
        <f>resultOnlatexABC16Dec24!H64</f>
        <v>1198</v>
      </c>
      <c r="M59" s="4" t="s">
        <v>100</v>
      </c>
      <c r="N59" s="5">
        <f>resultOnlatexABC16Dec24!J64</f>
        <v>121631.9</v>
      </c>
      <c r="O59" s="4" t="s">
        <v>100</v>
      </c>
      <c r="P59" s="4" t="str">
        <f t="shared" si="34"/>
        <v>\textbf{</v>
      </c>
      <c r="Q59" s="5">
        <f>resultOnlatexABC16Dec24!L64</f>
        <v>120168.9</v>
      </c>
      <c r="R59" s="4" t="str">
        <f t="shared" si="35"/>
        <v>}</v>
      </c>
      <c r="S59" s="4" t="s">
        <v>100</v>
      </c>
      <c r="T59" s="4" t="str">
        <f t="shared" si="7"/>
        <v>\textbf{</v>
      </c>
      <c r="U59" s="5">
        <f>resultOnlatexABC16Dec24!N64</f>
        <v>122306.9</v>
      </c>
      <c r="V59" s="4" t="str">
        <f t="shared" si="20"/>
        <v>}</v>
      </c>
      <c r="W59" s="4" t="s">
        <v>100</v>
      </c>
      <c r="X59" s="5">
        <f>resultOnlatexABC16Dec24!P64</f>
        <v>853.01</v>
      </c>
      <c r="Y59" s="4" t="s">
        <v>100</v>
      </c>
      <c r="Z59" s="5">
        <f>resultOnlatexABC16Dec24!R64</f>
        <v>120521.3</v>
      </c>
      <c r="AA59" s="4" t="s">
        <v>100</v>
      </c>
      <c r="AB59" s="4" t="str">
        <f t="shared" si="9"/>
        <v/>
      </c>
      <c r="AC59" s="5">
        <f>resultOnlatexABC16Dec24!T64</f>
        <v>121554.9</v>
      </c>
      <c r="AD59" s="4" t="str">
        <f t="shared" si="42"/>
        <v/>
      </c>
      <c r="AE59" s="4" t="s">
        <v>100</v>
      </c>
      <c r="AF59" s="4" t="str">
        <f t="shared" si="43"/>
        <v/>
      </c>
      <c r="AG59" s="5">
        <f>resultOnlatexABC16Dec24!V64</f>
        <v>122967.11</v>
      </c>
      <c r="AH59" s="4" t="str">
        <f t="shared" si="44"/>
        <v/>
      </c>
      <c r="AI59" s="4" t="s">
        <v>100</v>
      </c>
      <c r="AJ59" s="5">
        <f>resultOnlatexABC16Dec24!X64</f>
        <v>1066.8800000000001</v>
      </c>
      <c r="AK59" s="4" t="s">
        <v>100</v>
      </c>
      <c r="AL59" s="5">
        <f>resultOnlatexABC16Dec24!Z64</f>
        <v>121856.2</v>
      </c>
      <c r="AM59" s="4" t="s">
        <v>100</v>
      </c>
      <c r="AN59" s="4" t="str">
        <f t="shared" si="13"/>
        <v/>
      </c>
      <c r="AO59" s="5">
        <f>resultOnlatexABC16Dec24!AB64</f>
        <v>121554.9</v>
      </c>
      <c r="AP59" s="7" t="str">
        <f t="shared" si="39"/>
        <v/>
      </c>
      <c r="AQ59" s="7" t="s">
        <v>100</v>
      </c>
      <c r="AR59" s="7" t="str">
        <f t="shared" si="40"/>
        <v/>
      </c>
      <c r="AS59" s="5">
        <f>resultOnlatexABC16Dec24!AD64</f>
        <v>122949.67</v>
      </c>
      <c r="AT59" s="7" t="str">
        <f t="shared" si="41"/>
        <v/>
      </c>
      <c r="AU59" s="7" t="s">
        <v>100</v>
      </c>
      <c r="AV59" s="5">
        <f>resultOnlatexABC16Dec24!AF64</f>
        <v>1179.93</v>
      </c>
      <c r="AW59" s="7" t="s">
        <v>100</v>
      </c>
      <c r="AX59" s="5">
        <f>resultOnlatexABC16Dec24!AH64</f>
        <v>121856.2</v>
      </c>
      <c r="AY59" s="6" t="s">
        <v>102</v>
      </c>
      <c r="AZ59" s="8"/>
    </row>
    <row r="60" spans="2:52">
      <c r="B60" s="4" t="s">
        <v>64</v>
      </c>
      <c r="C60" s="4" t="s">
        <v>100</v>
      </c>
      <c r="D60" s="4" t="str">
        <f t="shared" si="33"/>
        <v>\textbf{</v>
      </c>
      <c r="E60" s="5">
        <f>resultOnlatexABC16Dec24!D65</f>
        <v>42243.96</v>
      </c>
      <c r="F60" s="4" t="str">
        <f t="shared" si="4"/>
        <v>}</v>
      </c>
      <c r="G60" s="4" t="s">
        <v>100</v>
      </c>
      <c r="H60" s="4" t="str">
        <f t="shared" si="5"/>
        <v>\textbf{</v>
      </c>
      <c r="I60" s="5">
        <f>resultOnlatexABC16Dec24!F65</f>
        <v>43088.97</v>
      </c>
      <c r="J60" s="4" t="str">
        <f t="shared" si="6"/>
        <v>}</v>
      </c>
      <c r="K60" s="4" t="s">
        <v>100</v>
      </c>
      <c r="L60" s="5">
        <f>resultOnlatexABC16Dec24!H65</f>
        <v>1425.05</v>
      </c>
      <c r="M60" s="4" t="s">
        <v>100</v>
      </c>
      <c r="N60" s="5">
        <f>resultOnlatexABC16Dec24!J65</f>
        <v>42307.7</v>
      </c>
      <c r="O60" s="4" t="s">
        <v>100</v>
      </c>
      <c r="P60" s="4" t="str">
        <f t="shared" si="34"/>
        <v/>
      </c>
      <c r="Q60" s="5">
        <f>resultOnlatexABC16Dec24!L65</f>
        <v>43433</v>
      </c>
      <c r="R60" s="4" t="str">
        <f t="shared" si="35"/>
        <v/>
      </c>
      <c r="S60" s="4" t="s">
        <v>100</v>
      </c>
      <c r="T60" s="4" t="str">
        <f t="shared" si="7"/>
        <v/>
      </c>
      <c r="U60" s="5">
        <f>resultOnlatexABC16Dec24!N65</f>
        <v>43976.95</v>
      </c>
      <c r="V60" s="4" t="str">
        <f t="shared" si="20"/>
        <v/>
      </c>
      <c r="W60" s="4" t="s">
        <v>100</v>
      </c>
      <c r="X60" s="5">
        <f>resultOnlatexABC16Dec24!P65</f>
        <v>1267.3800000000001</v>
      </c>
      <c r="Y60" s="4" t="s">
        <v>100</v>
      </c>
      <c r="Z60" s="5">
        <f>resultOnlatexABC16Dec24!R65</f>
        <v>43476.7</v>
      </c>
      <c r="AA60" s="4" t="s">
        <v>100</v>
      </c>
      <c r="AB60" s="4" t="str">
        <f t="shared" si="9"/>
        <v/>
      </c>
      <c r="AC60" s="5">
        <f>resultOnlatexABC16Dec24!T65</f>
        <v>42963.6</v>
      </c>
      <c r="AD60" s="4" t="str">
        <f t="shared" si="42"/>
        <v/>
      </c>
      <c r="AE60" s="4" t="s">
        <v>100</v>
      </c>
      <c r="AF60" s="4" t="str">
        <f t="shared" si="43"/>
        <v/>
      </c>
      <c r="AG60" s="5">
        <f>resultOnlatexABC16Dec24!V65</f>
        <v>43675.17</v>
      </c>
      <c r="AH60" s="4" t="str">
        <f t="shared" si="44"/>
        <v/>
      </c>
      <c r="AI60" s="4" t="s">
        <v>100</v>
      </c>
      <c r="AJ60" s="5">
        <f>resultOnlatexABC16Dec24!X65</f>
        <v>1404.38</v>
      </c>
      <c r="AK60" s="4" t="s">
        <v>100</v>
      </c>
      <c r="AL60" s="5">
        <f>resultOnlatexABC16Dec24!Z65</f>
        <v>42947.199999999997</v>
      </c>
      <c r="AM60" s="4" t="s">
        <v>100</v>
      </c>
      <c r="AN60" s="4" t="str">
        <f t="shared" si="13"/>
        <v/>
      </c>
      <c r="AO60" s="5">
        <f>resultOnlatexABC16Dec24!AB65</f>
        <v>43610.6</v>
      </c>
      <c r="AP60" s="7" t="str">
        <f t="shared" si="39"/>
        <v/>
      </c>
      <c r="AQ60" s="7" t="s">
        <v>100</v>
      </c>
      <c r="AR60" s="7" t="str">
        <f t="shared" si="40"/>
        <v/>
      </c>
      <c r="AS60" s="5">
        <f>resultOnlatexABC16Dec24!AD65</f>
        <v>44301.3</v>
      </c>
      <c r="AT60" s="7" t="str">
        <f t="shared" si="41"/>
        <v/>
      </c>
      <c r="AU60" s="7" t="s">
        <v>100</v>
      </c>
      <c r="AV60" s="5">
        <f>resultOnlatexABC16Dec24!AF65</f>
        <v>1379.75</v>
      </c>
      <c r="AW60" s="7" t="s">
        <v>100</v>
      </c>
      <c r="AX60" s="5">
        <f>resultOnlatexABC16Dec24!AH65</f>
        <v>43692.1</v>
      </c>
      <c r="AY60" s="6" t="s">
        <v>102</v>
      </c>
      <c r="AZ60" s="8"/>
    </row>
    <row r="61" spans="2:52">
      <c r="B61" s="4" t="s">
        <v>65</v>
      </c>
      <c r="C61" s="4" t="s">
        <v>100</v>
      </c>
      <c r="D61" s="4" t="str">
        <f t="shared" si="33"/>
        <v>\textbf{</v>
      </c>
      <c r="E61" s="5">
        <f>resultOnlatexABC16Dec24!D66</f>
        <v>36350.620000000003</v>
      </c>
      <c r="F61" s="4" t="str">
        <f t="shared" si="4"/>
        <v>}</v>
      </c>
      <c r="G61" s="4" t="s">
        <v>100</v>
      </c>
      <c r="H61" s="4" t="str">
        <f t="shared" si="5"/>
        <v>\textbf{</v>
      </c>
      <c r="I61" s="5">
        <f>resultOnlatexABC16Dec24!F66</f>
        <v>36685.160000000003</v>
      </c>
      <c r="J61" s="4" t="str">
        <f t="shared" si="6"/>
        <v>}</v>
      </c>
      <c r="K61" s="4" t="s">
        <v>100</v>
      </c>
      <c r="L61" s="5">
        <f>resultOnlatexABC16Dec24!H66</f>
        <v>1488.08</v>
      </c>
      <c r="M61" s="4" t="s">
        <v>100</v>
      </c>
      <c r="N61" s="5">
        <f>resultOnlatexABC16Dec24!J66</f>
        <v>36448.9</v>
      </c>
      <c r="O61" s="4" t="s">
        <v>100</v>
      </c>
      <c r="P61" s="4" t="str">
        <f t="shared" si="34"/>
        <v/>
      </c>
      <c r="Q61" s="5">
        <f>resultOnlatexABC16Dec24!L66</f>
        <v>38893.5</v>
      </c>
      <c r="R61" s="4" t="str">
        <f t="shared" si="35"/>
        <v/>
      </c>
      <c r="S61" s="4" t="s">
        <v>100</v>
      </c>
      <c r="T61" s="4" t="str">
        <f t="shared" si="7"/>
        <v/>
      </c>
      <c r="U61" s="5">
        <f>resultOnlatexABC16Dec24!N66</f>
        <v>39326.15</v>
      </c>
      <c r="V61" s="4" t="str">
        <f t="shared" si="20"/>
        <v/>
      </c>
      <c r="W61" s="4" t="s">
        <v>100</v>
      </c>
      <c r="X61" s="5">
        <f>resultOnlatexABC16Dec24!P66</f>
        <v>1445.19</v>
      </c>
      <c r="Y61" s="4" t="s">
        <v>100</v>
      </c>
      <c r="Z61" s="5">
        <f>resultOnlatexABC16Dec24!R66</f>
        <v>38973.4</v>
      </c>
      <c r="AA61" s="4" t="s">
        <v>100</v>
      </c>
      <c r="AB61" s="4" t="str">
        <f t="shared" si="9"/>
        <v/>
      </c>
      <c r="AC61" s="5">
        <f>resultOnlatexABC16Dec24!T66</f>
        <v>37066.9</v>
      </c>
      <c r="AD61" s="4" t="str">
        <f t="shared" si="42"/>
        <v/>
      </c>
      <c r="AE61" s="4" t="s">
        <v>100</v>
      </c>
      <c r="AF61" s="4" t="str">
        <f t="shared" si="43"/>
        <v/>
      </c>
      <c r="AG61" s="5">
        <f>resultOnlatexABC16Dec24!V66</f>
        <v>37838.19</v>
      </c>
      <c r="AH61" s="4" t="str">
        <f t="shared" si="44"/>
        <v/>
      </c>
      <c r="AI61" s="4" t="s">
        <v>100</v>
      </c>
      <c r="AJ61" s="5">
        <f>resultOnlatexABC16Dec24!X66</f>
        <v>1480.61</v>
      </c>
      <c r="AK61" s="4" t="s">
        <v>100</v>
      </c>
      <c r="AL61" s="5">
        <f>resultOnlatexABC16Dec24!Z66</f>
        <v>37098.9</v>
      </c>
      <c r="AM61" s="4" t="s">
        <v>100</v>
      </c>
      <c r="AN61" s="4" t="str">
        <f t="shared" si="13"/>
        <v/>
      </c>
      <c r="AO61" s="5">
        <f>resultOnlatexABC16Dec24!AB66</f>
        <v>37399.800000000003</v>
      </c>
      <c r="AP61" s="7" t="str">
        <f t="shared" si="39"/>
        <v/>
      </c>
      <c r="AQ61" s="7" t="s">
        <v>100</v>
      </c>
      <c r="AR61" s="7" t="str">
        <f t="shared" si="40"/>
        <v/>
      </c>
      <c r="AS61" s="5">
        <f>resultOnlatexABC16Dec24!AD66</f>
        <v>38222.879999999997</v>
      </c>
      <c r="AT61" s="7" t="str">
        <f t="shared" si="41"/>
        <v/>
      </c>
      <c r="AU61" s="7" t="s">
        <v>100</v>
      </c>
      <c r="AV61" s="5">
        <f>resultOnlatexABC16Dec24!AF66</f>
        <v>1554.61</v>
      </c>
      <c r="AW61" s="7" t="s">
        <v>100</v>
      </c>
      <c r="AX61" s="5">
        <f>resultOnlatexABC16Dec24!AH66</f>
        <v>37571.1</v>
      </c>
      <c r="AY61" s="6" t="s">
        <v>102</v>
      </c>
      <c r="AZ61" s="8"/>
    </row>
    <row r="62" spans="2:52">
      <c r="B62" s="4" t="s">
        <v>66</v>
      </c>
      <c r="C62" s="4" t="s">
        <v>100</v>
      </c>
      <c r="D62" s="4" t="str">
        <f t="shared" si="33"/>
        <v>\textbf{</v>
      </c>
      <c r="E62" s="5">
        <f>resultOnlatexABC16Dec24!D67</f>
        <v>35803.85</v>
      </c>
      <c r="F62" s="4" t="str">
        <f t="shared" si="4"/>
        <v>}</v>
      </c>
      <c r="G62" s="4" t="s">
        <v>100</v>
      </c>
      <c r="H62" s="4" t="str">
        <f t="shared" si="5"/>
        <v>\textbf{</v>
      </c>
      <c r="I62" s="5">
        <f>resultOnlatexABC16Dec24!F67</f>
        <v>36256.54</v>
      </c>
      <c r="J62" s="4" t="str">
        <f t="shared" si="6"/>
        <v>}</v>
      </c>
      <c r="K62" s="4" t="s">
        <v>100</v>
      </c>
      <c r="L62" s="5">
        <f>resultOnlatexABC16Dec24!H67</f>
        <v>1511.16</v>
      </c>
      <c r="M62" s="4" t="s">
        <v>100</v>
      </c>
      <c r="N62" s="5">
        <f>resultOnlatexABC16Dec24!J67</f>
        <v>35853.199999999997</v>
      </c>
      <c r="O62" s="4" t="s">
        <v>100</v>
      </c>
      <c r="P62" s="4" t="str">
        <f t="shared" si="34"/>
        <v/>
      </c>
      <c r="Q62" s="5">
        <f>resultOnlatexABC16Dec24!L67</f>
        <v>37900.300000000003</v>
      </c>
      <c r="R62" s="4" t="str">
        <f t="shared" si="35"/>
        <v/>
      </c>
      <c r="S62" s="4" t="s">
        <v>100</v>
      </c>
      <c r="T62" s="4" t="str">
        <f t="shared" si="7"/>
        <v/>
      </c>
      <c r="U62" s="5">
        <f>resultOnlatexABC16Dec24!N67</f>
        <v>38810.129999999997</v>
      </c>
      <c r="V62" s="4" t="str">
        <f t="shared" si="20"/>
        <v/>
      </c>
      <c r="W62" s="4" t="s">
        <v>100</v>
      </c>
      <c r="X62" s="5">
        <f>resultOnlatexABC16Dec24!P67</f>
        <v>1192.48</v>
      </c>
      <c r="Y62" s="4" t="s">
        <v>100</v>
      </c>
      <c r="Z62" s="5">
        <f>resultOnlatexABC16Dec24!R67</f>
        <v>37937.800000000003</v>
      </c>
      <c r="AA62" s="4" t="s">
        <v>100</v>
      </c>
      <c r="AB62" s="4" t="str">
        <f t="shared" si="9"/>
        <v/>
      </c>
      <c r="AC62" s="5">
        <f>resultOnlatexABC16Dec24!T67</f>
        <v>36327.5</v>
      </c>
      <c r="AD62" s="4" t="str">
        <f t="shared" si="42"/>
        <v/>
      </c>
      <c r="AE62" s="4" t="s">
        <v>100</v>
      </c>
      <c r="AF62" s="4" t="str">
        <f t="shared" si="43"/>
        <v/>
      </c>
      <c r="AG62" s="5">
        <f>resultOnlatexABC16Dec24!V67</f>
        <v>37040.370000000003</v>
      </c>
      <c r="AH62" s="4" t="str">
        <f t="shared" si="44"/>
        <v/>
      </c>
      <c r="AI62" s="4" t="s">
        <v>100</v>
      </c>
      <c r="AJ62" s="5">
        <f>resultOnlatexABC16Dec24!X67</f>
        <v>1373.59</v>
      </c>
      <c r="AK62" s="4" t="s">
        <v>100</v>
      </c>
      <c r="AL62" s="5">
        <f>resultOnlatexABC16Dec24!Z67</f>
        <v>36318.9</v>
      </c>
      <c r="AM62" s="4" t="s">
        <v>100</v>
      </c>
      <c r="AN62" s="4" t="str">
        <f t="shared" si="13"/>
        <v/>
      </c>
      <c r="AO62" s="5">
        <f>resultOnlatexABC16Dec24!AB67</f>
        <v>36947.699999999997</v>
      </c>
      <c r="AP62" s="7" t="str">
        <f t="shared" si="39"/>
        <v/>
      </c>
      <c r="AQ62" s="7" t="s">
        <v>100</v>
      </c>
      <c r="AR62" s="7" t="str">
        <f t="shared" si="40"/>
        <v/>
      </c>
      <c r="AS62" s="5">
        <f>resultOnlatexABC16Dec24!AD67</f>
        <v>37510.75</v>
      </c>
      <c r="AT62" s="7" t="str">
        <f t="shared" si="41"/>
        <v/>
      </c>
      <c r="AU62" s="7" t="s">
        <v>100</v>
      </c>
      <c r="AV62" s="5">
        <f>resultOnlatexABC16Dec24!AF67</f>
        <v>1356.19</v>
      </c>
      <c r="AW62" s="7" t="s">
        <v>100</v>
      </c>
      <c r="AX62" s="5">
        <f>resultOnlatexABC16Dec24!AH67</f>
        <v>37037</v>
      </c>
      <c r="AY62" s="6" t="s">
        <v>102</v>
      </c>
      <c r="AZ62" s="8"/>
    </row>
    <row r="63" spans="2:52">
      <c r="B63" s="4" t="s">
        <v>67</v>
      </c>
      <c r="C63" s="4" t="s">
        <v>100</v>
      </c>
      <c r="D63" s="4" t="str">
        <f t="shared" si="33"/>
        <v>\textbf{</v>
      </c>
      <c r="E63" s="5">
        <f>resultOnlatexABC16Dec24!D68</f>
        <v>119484.04</v>
      </c>
      <c r="F63" s="4" t="str">
        <f t="shared" si="4"/>
        <v>}</v>
      </c>
      <c r="G63" s="4" t="s">
        <v>100</v>
      </c>
      <c r="H63" s="4" t="str">
        <f t="shared" si="5"/>
        <v>\textbf{</v>
      </c>
      <c r="I63" s="5">
        <f>resultOnlatexABC16Dec24!F68</f>
        <v>120939.04</v>
      </c>
      <c r="J63" s="4" t="str">
        <f t="shared" si="6"/>
        <v>}</v>
      </c>
      <c r="K63" s="4" t="s">
        <v>100</v>
      </c>
      <c r="L63" s="5">
        <f>resultOnlatexABC16Dec24!H68</f>
        <v>1597.88</v>
      </c>
      <c r="M63" s="4" t="s">
        <v>100</v>
      </c>
      <c r="N63" s="5">
        <f>resultOnlatexABC16Dec24!J68</f>
        <v>119510.2</v>
      </c>
      <c r="O63" s="4" t="s">
        <v>100</v>
      </c>
      <c r="P63" s="4" t="str">
        <f t="shared" si="34"/>
        <v/>
      </c>
      <c r="Q63" s="5">
        <f>resultOnlatexABC16Dec24!L68</f>
        <v>123462.7</v>
      </c>
      <c r="R63" s="4" t="str">
        <f t="shared" si="35"/>
        <v/>
      </c>
      <c r="S63" s="4" t="s">
        <v>100</v>
      </c>
      <c r="T63" s="4" t="str">
        <f t="shared" si="7"/>
        <v/>
      </c>
      <c r="U63" s="5">
        <f>resultOnlatexABC16Dec24!N68</f>
        <v>125167.66</v>
      </c>
      <c r="V63" s="4" t="str">
        <f t="shared" si="20"/>
        <v/>
      </c>
      <c r="W63" s="4" t="s">
        <v>100</v>
      </c>
      <c r="X63" s="5">
        <f>resultOnlatexABC16Dec24!P68</f>
        <v>1285.79</v>
      </c>
      <c r="Y63" s="4" t="s">
        <v>100</v>
      </c>
      <c r="Z63" s="5">
        <f>resultOnlatexABC16Dec24!R68</f>
        <v>123600</v>
      </c>
      <c r="AA63" s="4" t="s">
        <v>100</v>
      </c>
      <c r="AB63" s="4" t="str">
        <f t="shared" si="9"/>
        <v/>
      </c>
      <c r="AC63" s="5">
        <f>resultOnlatexABC16Dec24!T68</f>
        <v>122853.9</v>
      </c>
      <c r="AD63" s="4" t="str">
        <f t="shared" si="42"/>
        <v/>
      </c>
      <c r="AE63" s="4" t="s">
        <v>100</v>
      </c>
      <c r="AF63" s="4" t="str">
        <f t="shared" si="43"/>
        <v/>
      </c>
      <c r="AG63" s="5">
        <f>resultOnlatexABC16Dec24!V68</f>
        <v>124383.39</v>
      </c>
      <c r="AH63" s="4" t="str">
        <f t="shared" si="44"/>
        <v/>
      </c>
      <c r="AI63" s="4" t="s">
        <v>100</v>
      </c>
      <c r="AJ63" s="5">
        <f>resultOnlatexABC16Dec24!X68</f>
        <v>1224.45</v>
      </c>
      <c r="AK63" s="4" t="s">
        <v>100</v>
      </c>
      <c r="AL63" s="5">
        <f>resultOnlatexABC16Dec24!Z68</f>
        <v>122900.4</v>
      </c>
      <c r="AM63" s="4" t="s">
        <v>100</v>
      </c>
      <c r="AN63" s="4" t="str">
        <f t="shared" si="13"/>
        <v/>
      </c>
      <c r="AO63" s="5">
        <f>resultOnlatexABC16Dec24!AB68</f>
        <v>124407.4</v>
      </c>
      <c r="AP63" s="7" t="str">
        <f t="shared" si="39"/>
        <v/>
      </c>
      <c r="AQ63" s="7" t="s">
        <v>100</v>
      </c>
      <c r="AR63" s="7" t="str">
        <f t="shared" si="40"/>
        <v/>
      </c>
      <c r="AS63" s="5">
        <f>resultOnlatexABC16Dec24!AD68</f>
        <v>125496.94</v>
      </c>
      <c r="AT63" s="7" t="str">
        <f t="shared" si="41"/>
        <v/>
      </c>
      <c r="AU63" s="7" t="s">
        <v>100</v>
      </c>
      <c r="AV63" s="5">
        <f>resultOnlatexABC16Dec24!AF68</f>
        <v>1166.3</v>
      </c>
      <c r="AW63" s="7" t="s">
        <v>100</v>
      </c>
      <c r="AX63" s="5">
        <f>resultOnlatexABC16Dec24!AH68</f>
        <v>124466.8</v>
      </c>
      <c r="AY63" s="6" t="s">
        <v>102</v>
      </c>
      <c r="AZ63" s="8"/>
    </row>
    <row r="64" spans="2:52">
      <c r="B64" s="4" t="s">
        <v>68</v>
      </c>
      <c r="C64" s="4" t="s">
        <v>100</v>
      </c>
      <c r="D64" s="4" t="str">
        <f t="shared" si="33"/>
        <v>\textbf{</v>
      </c>
      <c r="E64" s="5">
        <f>resultOnlatexABC16Dec24!D69</f>
        <v>114372.69</v>
      </c>
      <c r="F64" s="4" t="str">
        <f t="shared" si="4"/>
        <v>}</v>
      </c>
      <c r="G64" s="4" t="s">
        <v>100</v>
      </c>
      <c r="H64" s="4" t="str">
        <f t="shared" si="5"/>
        <v>\textbf{</v>
      </c>
      <c r="I64" s="5">
        <f>resultOnlatexABC16Dec24!F69</f>
        <v>115674.54</v>
      </c>
      <c r="J64" s="4" t="str">
        <f t="shared" si="6"/>
        <v>}</v>
      </c>
      <c r="K64" s="4" t="s">
        <v>100</v>
      </c>
      <c r="L64" s="5">
        <f>resultOnlatexABC16Dec24!H69</f>
        <v>1425.97</v>
      </c>
      <c r="M64" s="4" t="s">
        <v>100</v>
      </c>
      <c r="N64" s="5">
        <f>resultOnlatexABC16Dec24!J69</f>
        <v>114316.4</v>
      </c>
      <c r="O64" s="4" t="s">
        <v>100</v>
      </c>
      <c r="P64" s="4" t="str">
        <f t="shared" si="34"/>
        <v/>
      </c>
      <c r="Q64" s="5">
        <f>resultOnlatexABC16Dec24!L69</f>
        <v>116254.5</v>
      </c>
      <c r="R64" s="4" t="str">
        <f t="shared" si="35"/>
        <v/>
      </c>
      <c r="S64" s="4" t="s">
        <v>100</v>
      </c>
      <c r="T64" s="4" t="str">
        <f t="shared" si="7"/>
        <v/>
      </c>
      <c r="U64" s="5">
        <f>resultOnlatexABC16Dec24!N69</f>
        <v>118367.87</v>
      </c>
      <c r="V64" s="4" t="str">
        <f t="shared" si="20"/>
        <v/>
      </c>
      <c r="W64" s="4" t="s">
        <v>100</v>
      </c>
      <c r="X64" s="5">
        <f>resultOnlatexABC16Dec24!P69</f>
        <v>1242.51</v>
      </c>
      <c r="Y64" s="4" t="s">
        <v>100</v>
      </c>
      <c r="Z64" s="5">
        <f>resultOnlatexABC16Dec24!R69</f>
        <v>116150.6</v>
      </c>
      <c r="AA64" s="4" t="s">
        <v>100</v>
      </c>
      <c r="AB64" s="4" t="str">
        <f t="shared" si="9"/>
        <v/>
      </c>
      <c r="AC64" s="5">
        <f>resultOnlatexABC16Dec24!T69</f>
        <v>117696.4</v>
      </c>
      <c r="AD64" s="4" t="str">
        <f t="shared" si="42"/>
        <v/>
      </c>
      <c r="AE64" s="4" t="s">
        <v>100</v>
      </c>
      <c r="AF64" s="4" t="str">
        <f t="shared" si="43"/>
        <v/>
      </c>
      <c r="AG64" s="5">
        <f>resultOnlatexABC16Dec24!V69</f>
        <v>118764.68</v>
      </c>
      <c r="AH64" s="4" t="str">
        <f t="shared" si="44"/>
        <v/>
      </c>
      <c r="AI64" s="4" t="s">
        <v>100</v>
      </c>
      <c r="AJ64" s="5">
        <f>resultOnlatexABC16Dec24!X69</f>
        <v>1097.75</v>
      </c>
      <c r="AK64" s="4" t="s">
        <v>100</v>
      </c>
      <c r="AL64" s="5">
        <f>resultOnlatexABC16Dec24!Z69</f>
        <v>117863.3</v>
      </c>
      <c r="AM64" s="4" t="s">
        <v>100</v>
      </c>
      <c r="AN64" s="4" t="str">
        <f t="shared" si="13"/>
        <v/>
      </c>
      <c r="AO64" s="5">
        <f>resultOnlatexABC16Dec24!AB69</f>
        <v>118116.8</v>
      </c>
      <c r="AP64" s="7" t="str">
        <f t="shared" si="39"/>
        <v/>
      </c>
      <c r="AQ64" s="7" t="s">
        <v>100</v>
      </c>
      <c r="AR64" s="7" t="str">
        <f t="shared" si="40"/>
        <v/>
      </c>
      <c r="AS64" s="5">
        <f>resultOnlatexABC16Dec24!AD69</f>
        <v>119264.55</v>
      </c>
      <c r="AT64" s="7" t="str">
        <f t="shared" si="41"/>
        <v/>
      </c>
      <c r="AU64" s="7" t="s">
        <v>100</v>
      </c>
      <c r="AV64" s="5">
        <f>resultOnlatexABC16Dec24!AF69</f>
        <v>999.4</v>
      </c>
      <c r="AW64" s="7" t="s">
        <v>100</v>
      </c>
      <c r="AX64" s="5">
        <f>resultOnlatexABC16Dec24!AH69</f>
        <v>118314.6</v>
      </c>
      <c r="AY64" s="6" t="s">
        <v>102</v>
      </c>
      <c r="AZ64" s="8"/>
    </row>
    <row r="65" spans="2:52">
      <c r="B65" s="4" t="s">
        <v>69</v>
      </c>
      <c r="C65" s="4" t="s">
        <v>100</v>
      </c>
      <c r="D65" s="4" t="str">
        <f t="shared" si="33"/>
        <v>\textbf{</v>
      </c>
      <c r="E65" s="5">
        <f>resultOnlatexABC16Dec24!D70</f>
        <v>181321.26</v>
      </c>
      <c r="F65" s="4" t="str">
        <f t="shared" si="4"/>
        <v>}</v>
      </c>
      <c r="G65" s="4" t="s">
        <v>100</v>
      </c>
      <c r="H65" s="4" t="str">
        <f t="shared" si="5"/>
        <v>\textbf{</v>
      </c>
      <c r="I65" s="5">
        <f>resultOnlatexABC16Dec24!F70</f>
        <v>182234.31</v>
      </c>
      <c r="J65" s="4" t="str">
        <f t="shared" si="6"/>
        <v>}</v>
      </c>
      <c r="K65" s="4" t="s">
        <v>100</v>
      </c>
      <c r="L65" s="5">
        <f>resultOnlatexABC16Dec24!H70</f>
        <v>1543.91</v>
      </c>
      <c r="M65" s="4" t="s">
        <v>100</v>
      </c>
      <c r="N65" s="5">
        <f>resultOnlatexABC16Dec24!J70</f>
        <v>181231.9</v>
      </c>
      <c r="O65" s="4" t="s">
        <v>100</v>
      </c>
      <c r="P65" s="4" t="str">
        <f t="shared" si="34"/>
        <v/>
      </c>
      <c r="Q65" s="5">
        <f>resultOnlatexABC16Dec24!L70</f>
        <v>183514.7</v>
      </c>
      <c r="R65" s="4" t="str">
        <f t="shared" si="35"/>
        <v/>
      </c>
      <c r="S65" s="4" t="s">
        <v>100</v>
      </c>
      <c r="T65" s="4" t="str">
        <f t="shared" si="7"/>
        <v/>
      </c>
      <c r="U65" s="5">
        <f>resultOnlatexABC16Dec24!N70</f>
        <v>184858.08</v>
      </c>
      <c r="V65" s="4" t="str">
        <f t="shared" si="20"/>
        <v/>
      </c>
      <c r="W65" s="4" t="s">
        <v>100</v>
      </c>
      <c r="X65" s="5">
        <f>resultOnlatexABC16Dec24!P70</f>
        <v>1365.37</v>
      </c>
      <c r="Y65" s="4" t="s">
        <v>100</v>
      </c>
      <c r="Z65" s="5">
        <f>resultOnlatexABC16Dec24!R70</f>
        <v>183444.1</v>
      </c>
      <c r="AA65" s="4" t="s">
        <v>100</v>
      </c>
      <c r="AB65" s="4" t="str">
        <f t="shared" si="9"/>
        <v/>
      </c>
      <c r="AC65" s="5">
        <f>resultOnlatexABC16Dec24!T70</f>
        <v>184327</v>
      </c>
      <c r="AD65" s="4" t="str">
        <f t="shared" si="42"/>
        <v/>
      </c>
      <c r="AE65" s="4" t="s">
        <v>100</v>
      </c>
      <c r="AF65" s="4" t="str">
        <f t="shared" si="43"/>
        <v/>
      </c>
      <c r="AG65" s="5">
        <f>resultOnlatexABC16Dec24!V70</f>
        <v>186213.61</v>
      </c>
      <c r="AH65" s="4" t="str">
        <f t="shared" si="44"/>
        <v/>
      </c>
      <c r="AI65" s="4" t="s">
        <v>100</v>
      </c>
      <c r="AJ65" s="5">
        <f>resultOnlatexABC16Dec24!X70</f>
        <v>1142.96</v>
      </c>
      <c r="AK65" s="4" t="s">
        <v>100</v>
      </c>
      <c r="AL65" s="5">
        <f>resultOnlatexABC16Dec24!Z70</f>
        <v>184212.1</v>
      </c>
      <c r="AM65" s="4" t="s">
        <v>100</v>
      </c>
      <c r="AN65" s="4" t="str">
        <f t="shared" si="13"/>
        <v/>
      </c>
      <c r="AO65" s="5">
        <f>resultOnlatexABC16Dec24!AB70</f>
        <v>186034.7</v>
      </c>
      <c r="AP65" s="7" t="str">
        <f t="shared" si="39"/>
        <v/>
      </c>
      <c r="AQ65" s="7" t="s">
        <v>100</v>
      </c>
      <c r="AR65" s="7" t="str">
        <f t="shared" si="40"/>
        <v/>
      </c>
      <c r="AS65" s="5">
        <f>resultOnlatexABC16Dec24!AD70</f>
        <v>186976.64000000001</v>
      </c>
      <c r="AT65" s="7" t="str">
        <f t="shared" si="41"/>
        <v/>
      </c>
      <c r="AU65" s="7" t="s">
        <v>100</v>
      </c>
      <c r="AV65" s="5">
        <f>resultOnlatexABC16Dec24!AF70</f>
        <v>959.72</v>
      </c>
      <c r="AW65" s="7" t="s">
        <v>100</v>
      </c>
      <c r="AX65" s="5">
        <f>resultOnlatexABC16Dec24!AH70</f>
        <v>186061.6</v>
      </c>
      <c r="AY65" s="6" t="s">
        <v>102</v>
      </c>
      <c r="AZ65" s="8"/>
    </row>
    <row r="66" spans="2:52">
      <c r="B66" s="4" t="s">
        <v>70</v>
      </c>
      <c r="C66" s="4" t="s">
        <v>100</v>
      </c>
      <c r="D66" s="4" t="str">
        <f t="shared" si="33"/>
        <v>\textbf{</v>
      </c>
      <c r="E66" s="5">
        <f>resultOnlatexABC16Dec24!D71</f>
        <v>180282.84</v>
      </c>
      <c r="F66" s="4" t="str">
        <f t="shared" ref="F66:F74" si="45">IF(E66=MIN(E66,Q66,AC66,AO66),"}","")</f>
        <v>}</v>
      </c>
      <c r="G66" s="4" t="s">
        <v>100</v>
      </c>
      <c r="H66" s="4" t="str">
        <f t="shared" ref="H66:H74" si="46">IF(I66=MIN(I66,U66,AG66,AS66),"\textbf{","")</f>
        <v>\textbf{</v>
      </c>
      <c r="I66" s="5">
        <f>resultOnlatexABC16Dec24!F71</f>
        <v>182310.96</v>
      </c>
      <c r="J66" s="4" t="str">
        <f t="shared" ref="J66:J76" si="47">IF(I66=MIN(I66,U66,AG66,AS66),"}","")</f>
        <v>}</v>
      </c>
      <c r="K66" s="4" t="s">
        <v>100</v>
      </c>
      <c r="L66" s="5">
        <f>resultOnlatexABC16Dec24!H71</f>
        <v>1038.2</v>
      </c>
      <c r="M66" s="4" t="s">
        <v>100</v>
      </c>
      <c r="N66" s="5">
        <f>resultOnlatexABC16Dec24!J71</f>
        <v>180337.5</v>
      </c>
      <c r="O66" s="4" t="s">
        <v>100</v>
      </c>
      <c r="P66" s="4" t="str">
        <f t="shared" si="34"/>
        <v/>
      </c>
      <c r="Q66" s="5">
        <f>resultOnlatexABC16Dec24!L71</f>
        <v>183297.7</v>
      </c>
      <c r="R66" s="4" t="str">
        <f t="shared" si="35"/>
        <v/>
      </c>
      <c r="S66" s="4" t="s">
        <v>100</v>
      </c>
      <c r="T66" s="4" t="str">
        <f t="shared" ref="T66:T74" si="48">IF(U66=MIN(I66,U66,AG66,AS66),"\textbf{","")</f>
        <v/>
      </c>
      <c r="U66" s="5">
        <f>resultOnlatexABC16Dec24!N71</f>
        <v>185616.78</v>
      </c>
      <c r="V66" s="4" t="str">
        <f t="shared" si="20"/>
        <v/>
      </c>
      <c r="W66" s="4" t="s">
        <v>100</v>
      </c>
      <c r="X66" s="5">
        <f>resultOnlatexABC16Dec24!P71</f>
        <v>1225.5999999999999</v>
      </c>
      <c r="Y66" s="4" t="s">
        <v>100</v>
      </c>
      <c r="Z66" s="5">
        <f>resultOnlatexABC16Dec24!R71</f>
        <v>183521</v>
      </c>
      <c r="AA66" s="4" t="s">
        <v>100</v>
      </c>
      <c r="AB66" s="4" t="str">
        <f t="shared" ref="AB66:AB74" si="49">IF(AC66=MIN(E66,Q66,AC66,AO66),"\textbf{","")</f>
        <v/>
      </c>
      <c r="AC66" s="5">
        <f>resultOnlatexABC16Dec24!T71</f>
        <v>183813.5</v>
      </c>
      <c r="AD66" s="4" t="str">
        <f t="shared" si="42"/>
        <v/>
      </c>
      <c r="AE66" s="4" t="s">
        <v>100</v>
      </c>
      <c r="AF66" s="4" t="str">
        <f t="shared" si="43"/>
        <v/>
      </c>
      <c r="AG66" s="5">
        <f>resultOnlatexABC16Dec24!V71</f>
        <v>185168.01</v>
      </c>
      <c r="AH66" s="4" t="str">
        <f t="shared" si="44"/>
        <v/>
      </c>
      <c r="AI66" s="4" t="s">
        <v>100</v>
      </c>
      <c r="AJ66" s="5">
        <f>resultOnlatexABC16Dec24!X71</f>
        <v>1185.78</v>
      </c>
      <c r="AK66" s="4" t="s">
        <v>100</v>
      </c>
      <c r="AL66" s="5">
        <f>resultOnlatexABC16Dec24!Z71</f>
        <v>183772</v>
      </c>
      <c r="AM66" s="4" t="s">
        <v>100</v>
      </c>
      <c r="AN66" s="4" t="str">
        <f t="shared" ref="AN66:AN74" si="50">IF(AO66=MIN(E66,Q66,AC66,AO66),"\textbf{","")</f>
        <v/>
      </c>
      <c r="AO66" s="5">
        <f>resultOnlatexABC16Dec24!AB71</f>
        <v>185336.2</v>
      </c>
      <c r="AP66" s="7" t="str">
        <f t="shared" si="39"/>
        <v/>
      </c>
      <c r="AQ66" s="7" t="s">
        <v>100</v>
      </c>
      <c r="AR66" s="7" t="str">
        <f t="shared" si="40"/>
        <v/>
      </c>
      <c r="AS66" s="5">
        <f>resultOnlatexABC16Dec24!AD71</f>
        <v>186454.64</v>
      </c>
      <c r="AT66" s="7" t="str">
        <f t="shared" si="41"/>
        <v/>
      </c>
      <c r="AU66" s="7" t="s">
        <v>100</v>
      </c>
      <c r="AV66" s="5">
        <f>resultOnlatexABC16Dec24!AF71</f>
        <v>1439.33</v>
      </c>
      <c r="AW66" s="7" t="s">
        <v>100</v>
      </c>
      <c r="AX66" s="5">
        <f>resultOnlatexABC16Dec24!AH71</f>
        <v>185291.4</v>
      </c>
      <c r="AY66" s="6" t="s">
        <v>102</v>
      </c>
      <c r="AZ66" s="8"/>
    </row>
    <row r="67" spans="2:52">
      <c r="B67" s="4" t="s">
        <v>71</v>
      </c>
      <c r="C67" s="4" t="s">
        <v>100</v>
      </c>
      <c r="D67" s="4" t="str">
        <f t="shared" si="33"/>
        <v>\textbf{</v>
      </c>
      <c r="E67" s="5">
        <f>resultOnlatexABC16Dec24!D72</f>
        <v>425567.18</v>
      </c>
      <c r="F67" s="4" t="str">
        <f t="shared" si="45"/>
        <v>}</v>
      </c>
      <c r="G67" s="4" t="s">
        <v>100</v>
      </c>
      <c r="H67" s="4" t="str">
        <f t="shared" si="46"/>
        <v>\textbf{</v>
      </c>
      <c r="I67" s="5">
        <f>resultOnlatexABC16Dec24!F72</f>
        <v>427706.71</v>
      </c>
      <c r="J67" s="4" t="str">
        <f t="shared" si="47"/>
        <v>}</v>
      </c>
      <c r="K67" s="4" t="s">
        <v>100</v>
      </c>
      <c r="L67" s="5">
        <f>resultOnlatexABC16Dec24!H72</f>
        <v>1183.53</v>
      </c>
      <c r="M67" s="4" t="s">
        <v>100</v>
      </c>
      <c r="N67" s="5">
        <f>resultOnlatexABC16Dec24!J72</f>
        <v>425714.7</v>
      </c>
      <c r="O67" s="4" t="s">
        <v>100</v>
      </c>
      <c r="P67" s="4" t="str">
        <f t="shared" si="34"/>
        <v/>
      </c>
      <c r="Q67" s="5">
        <f>resultOnlatexABC16Dec24!L72</f>
        <v>430280</v>
      </c>
      <c r="R67" s="4" t="str">
        <f t="shared" si="35"/>
        <v/>
      </c>
      <c r="S67" s="4" t="s">
        <v>100</v>
      </c>
      <c r="T67" s="4" t="str">
        <f t="shared" si="48"/>
        <v/>
      </c>
      <c r="U67" s="5">
        <f>resultOnlatexABC16Dec24!N72</f>
        <v>432936.85</v>
      </c>
      <c r="V67" s="4" t="str">
        <f t="shared" si="20"/>
        <v/>
      </c>
      <c r="W67" s="4" t="s">
        <v>100</v>
      </c>
      <c r="X67" s="5">
        <f>resultOnlatexABC16Dec24!P72</f>
        <v>1021.84</v>
      </c>
      <c r="Y67" s="4" t="s">
        <v>100</v>
      </c>
      <c r="Z67" s="5">
        <f>resultOnlatexABC16Dec24!R72</f>
        <v>430400.1</v>
      </c>
      <c r="AA67" s="4" t="s">
        <v>100</v>
      </c>
      <c r="AB67" s="4" t="str">
        <f t="shared" si="49"/>
        <v/>
      </c>
      <c r="AC67" s="5">
        <f>resultOnlatexABC16Dec24!T72</f>
        <v>427878.7</v>
      </c>
      <c r="AD67" s="4" t="str">
        <f t="shared" si="42"/>
        <v/>
      </c>
      <c r="AE67" s="4" t="s">
        <v>100</v>
      </c>
      <c r="AF67" s="4" t="str">
        <f t="shared" si="43"/>
        <v/>
      </c>
      <c r="AG67" s="5">
        <f>resultOnlatexABC16Dec24!V72</f>
        <v>434553.27</v>
      </c>
      <c r="AH67" s="4" t="str">
        <f t="shared" si="44"/>
        <v/>
      </c>
      <c r="AI67" s="4" t="s">
        <v>100</v>
      </c>
      <c r="AJ67" s="5">
        <f>resultOnlatexABC16Dec24!X72</f>
        <v>1311.87</v>
      </c>
      <c r="AK67" s="4" t="s">
        <v>100</v>
      </c>
      <c r="AL67" s="5">
        <f>resultOnlatexABC16Dec24!Z72</f>
        <v>427920.1</v>
      </c>
      <c r="AM67" s="4" t="s">
        <v>100</v>
      </c>
      <c r="AN67" s="4" t="str">
        <f t="shared" si="50"/>
        <v/>
      </c>
      <c r="AO67" s="5">
        <f>resultOnlatexABC16Dec24!AB72</f>
        <v>433805.1</v>
      </c>
      <c r="AP67" s="7" t="str">
        <f t="shared" si="39"/>
        <v/>
      </c>
      <c r="AQ67" s="7" t="s">
        <v>100</v>
      </c>
      <c r="AR67" s="7" t="str">
        <f t="shared" si="40"/>
        <v/>
      </c>
      <c r="AS67" s="5">
        <f>resultOnlatexABC16Dec24!AD72</f>
        <v>439072.17</v>
      </c>
      <c r="AT67" s="7" t="str">
        <f t="shared" si="41"/>
        <v/>
      </c>
      <c r="AU67" s="7" t="s">
        <v>100</v>
      </c>
      <c r="AV67" s="5">
        <f>resultOnlatexABC16Dec24!AF72</f>
        <v>1463.13</v>
      </c>
      <c r="AW67" s="7" t="s">
        <v>100</v>
      </c>
      <c r="AX67" s="5">
        <f>resultOnlatexABC16Dec24!AH72</f>
        <v>434264.5</v>
      </c>
      <c r="AY67" s="6" t="s">
        <v>102</v>
      </c>
      <c r="AZ67" s="8"/>
    </row>
    <row r="68" spans="2:52">
      <c r="B68" s="4" t="s">
        <v>72</v>
      </c>
      <c r="C68" s="4" t="s">
        <v>100</v>
      </c>
      <c r="D68" s="4" t="str">
        <f t="shared" si="33"/>
        <v>\textbf{</v>
      </c>
      <c r="E68" s="5">
        <f>resultOnlatexABC16Dec24!D73</f>
        <v>417126.04</v>
      </c>
      <c r="F68" s="4" t="str">
        <f t="shared" si="45"/>
        <v>}</v>
      </c>
      <c r="G68" s="4" t="s">
        <v>100</v>
      </c>
      <c r="H68" s="4" t="str">
        <f t="shared" si="46"/>
        <v>\textbf{</v>
      </c>
      <c r="I68" s="5">
        <f>resultOnlatexABC16Dec24!F73</f>
        <v>418412.27</v>
      </c>
      <c r="J68" s="4" t="str">
        <f t="shared" si="47"/>
        <v>}</v>
      </c>
      <c r="K68" s="4" t="s">
        <v>100</v>
      </c>
      <c r="L68" s="5">
        <f>resultOnlatexABC16Dec24!H73</f>
        <v>1205.1300000000001</v>
      </c>
      <c r="M68" s="4" t="s">
        <v>100</v>
      </c>
      <c r="N68" s="5">
        <f>resultOnlatexABC16Dec24!J73</f>
        <v>417445.2</v>
      </c>
      <c r="O68" s="4" t="s">
        <v>100</v>
      </c>
      <c r="P68" s="4" t="str">
        <f t="shared" si="34"/>
        <v/>
      </c>
      <c r="Q68" s="5">
        <f>resultOnlatexABC16Dec24!L73</f>
        <v>419300.4</v>
      </c>
      <c r="R68" s="4" t="str">
        <f t="shared" si="35"/>
        <v/>
      </c>
      <c r="S68" s="4" t="s">
        <v>100</v>
      </c>
      <c r="T68" s="4" t="str">
        <f t="shared" si="48"/>
        <v/>
      </c>
      <c r="U68" s="5">
        <f>resultOnlatexABC16Dec24!N73</f>
        <v>423440.7</v>
      </c>
      <c r="V68" s="4" t="str">
        <f t="shared" si="20"/>
        <v/>
      </c>
      <c r="W68" s="4" t="s">
        <v>100</v>
      </c>
      <c r="X68" s="5">
        <f>resultOnlatexABC16Dec24!P73</f>
        <v>1067.69</v>
      </c>
      <c r="Y68" s="4" t="s">
        <v>100</v>
      </c>
      <c r="Z68" s="5">
        <f>resultOnlatexABC16Dec24!R73</f>
        <v>419659.2</v>
      </c>
      <c r="AA68" s="4" t="s">
        <v>100</v>
      </c>
      <c r="AB68" s="4" t="str">
        <f t="shared" si="49"/>
        <v/>
      </c>
      <c r="AC68" s="5">
        <f>resultOnlatexABC16Dec24!T73</f>
        <v>422197.3</v>
      </c>
      <c r="AD68" s="4" t="str">
        <f t="shared" si="42"/>
        <v/>
      </c>
      <c r="AE68" s="4" t="s">
        <v>100</v>
      </c>
      <c r="AF68" s="4" t="str">
        <f t="shared" si="43"/>
        <v/>
      </c>
      <c r="AG68" s="5">
        <f>resultOnlatexABC16Dec24!V73</f>
        <v>425011.93</v>
      </c>
      <c r="AH68" s="4" t="str">
        <f t="shared" si="44"/>
        <v/>
      </c>
      <c r="AI68" s="4" t="s">
        <v>100</v>
      </c>
      <c r="AJ68" s="5">
        <f>resultOnlatexABC16Dec24!X73</f>
        <v>1288.42</v>
      </c>
      <c r="AK68" s="4" t="s">
        <v>100</v>
      </c>
      <c r="AL68" s="5">
        <f>resultOnlatexABC16Dec24!Z73</f>
        <v>422363.7</v>
      </c>
      <c r="AM68" s="4" t="s">
        <v>100</v>
      </c>
      <c r="AN68" s="4" t="str">
        <f t="shared" si="50"/>
        <v/>
      </c>
      <c r="AO68" s="5">
        <f>resultOnlatexABC16Dec24!AB73</f>
        <v>426232</v>
      </c>
      <c r="AP68" s="7" t="str">
        <f t="shared" si="39"/>
        <v/>
      </c>
      <c r="AQ68" s="7" t="s">
        <v>100</v>
      </c>
      <c r="AR68" s="7" t="str">
        <f t="shared" si="40"/>
        <v/>
      </c>
      <c r="AS68" s="5">
        <f>resultOnlatexABC16Dec24!AD73</f>
        <v>428225.13</v>
      </c>
      <c r="AT68" s="7" t="str">
        <f t="shared" si="41"/>
        <v/>
      </c>
      <c r="AU68" s="7" t="s">
        <v>100</v>
      </c>
      <c r="AV68" s="5">
        <f>resultOnlatexABC16Dec24!AF73</f>
        <v>1318.33</v>
      </c>
      <c r="AW68" s="7" t="s">
        <v>100</v>
      </c>
      <c r="AX68" s="5">
        <f>resultOnlatexABC16Dec24!AH73</f>
        <v>426270.1</v>
      </c>
      <c r="AY68" s="6" t="s">
        <v>102</v>
      </c>
      <c r="AZ68" s="8"/>
    </row>
    <row r="69" spans="2:52">
      <c r="B69" s="4" t="s">
        <v>73</v>
      </c>
      <c r="C69" s="4" t="s">
        <v>100</v>
      </c>
      <c r="D69" s="4" t="str">
        <f t="shared" si="33"/>
        <v>\textbf{</v>
      </c>
      <c r="E69" s="5">
        <f>resultOnlatexABC16Dec24!D74</f>
        <v>531970.13</v>
      </c>
      <c r="F69" s="4" t="str">
        <f t="shared" si="45"/>
        <v>}</v>
      </c>
      <c r="G69" s="4" t="s">
        <v>100</v>
      </c>
      <c r="H69" s="4" t="str">
        <f t="shared" si="46"/>
        <v>\textbf{</v>
      </c>
      <c r="I69" s="5">
        <f>resultOnlatexABC16Dec24!F74</f>
        <v>534372.97</v>
      </c>
      <c r="J69" s="4" t="str">
        <f t="shared" si="47"/>
        <v>}</v>
      </c>
      <c r="K69" s="4" t="s">
        <v>100</v>
      </c>
      <c r="L69" s="5">
        <f>resultOnlatexABC16Dec24!H74</f>
        <v>1252.19</v>
      </c>
      <c r="M69" s="4" t="s">
        <v>100</v>
      </c>
      <c r="N69" s="5">
        <f>resultOnlatexABC16Dec24!J74</f>
        <v>531943.30000000005</v>
      </c>
      <c r="O69" s="4" t="s">
        <v>100</v>
      </c>
      <c r="P69" s="4" t="str">
        <f t="shared" si="34"/>
        <v/>
      </c>
      <c r="Q69" s="5">
        <f>resultOnlatexABC16Dec24!L74</f>
        <v>536376.6</v>
      </c>
      <c r="R69" s="4" t="str">
        <f t="shared" si="35"/>
        <v/>
      </c>
      <c r="S69" s="4" t="s">
        <v>100</v>
      </c>
      <c r="T69" s="4" t="str">
        <f t="shared" si="48"/>
        <v/>
      </c>
      <c r="U69" s="5">
        <f>resultOnlatexABC16Dec24!N74</f>
        <v>538181.81999999995</v>
      </c>
      <c r="V69" s="4" t="str">
        <f t="shared" si="20"/>
        <v/>
      </c>
      <c r="W69" s="4" t="s">
        <v>100</v>
      </c>
      <c r="X69" s="5">
        <f>resultOnlatexABC16Dec24!P74</f>
        <v>684.1</v>
      </c>
      <c r="Y69" s="4" t="s">
        <v>100</v>
      </c>
      <c r="Z69" s="5">
        <f>resultOnlatexABC16Dec24!R74</f>
        <v>536289.6</v>
      </c>
      <c r="AA69" s="4" t="s">
        <v>100</v>
      </c>
      <c r="AB69" s="4" t="str">
        <f t="shared" si="49"/>
        <v/>
      </c>
      <c r="AC69" s="5">
        <f>resultOnlatexABC16Dec24!T74</f>
        <v>538146.4</v>
      </c>
      <c r="AD69" s="4" t="str">
        <f t="shared" si="42"/>
        <v/>
      </c>
      <c r="AE69" s="4" t="s">
        <v>100</v>
      </c>
      <c r="AF69" s="4" t="str">
        <f t="shared" si="43"/>
        <v/>
      </c>
      <c r="AG69" s="5">
        <f>resultOnlatexABC16Dec24!V74</f>
        <v>539889.11</v>
      </c>
      <c r="AH69" s="4" t="str">
        <f t="shared" si="44"/>
        <v/>
      </c>
      <c r="AI69" s="4" t="s">
        <v>100</v>
      </c>
      <c r="AJ69" s="5">
        <f>resultOnlatexABC16Dec24!X74</f>
        <v>1352.54</v>
      </c>
      <c r="AK69" s="4" t="s">
        <v>100</v>
      </c>
      <c r="AL69" s="5">
        <f>resultOnlatexABC16Dec24!Z74</f>
        <v>538061.6</v>
      </c>
      <c r="AM69" s="4" t="s">
        <v>100</v>
      </c>
      <c r="AN69" s="4" t="str">
        <f t="shared" si="50"/>
        <v/>
      </c>
      <c r="AO69" s="5">
        <f>resultOnlatexABC16Dec24!AB74</f>
        <v>540524.4</v>
      </c>
      <c r="AP69" s="7" t="str">
        <f t="shared" si="39"/>
        <v/>
      </c>
      <c r="AQ69" s="7" t="s">
        <v>100</v>
      </c>
      <c r="AR69" s="7" t="str">
        <f t="shared" si="40"/>
        <v/>
      </c>
      <c r="AS69" s="5">
        <f>resultOnlatexABC16Dec24!AD74</f>
        <v>550848.01</v>
      </c>
      <c r="AT69" s="7" t="str">
        <f t="shared" si="41"/>
        <v/>
      </c>
      <c r="AU69" s="7" t="s">
        <v>100</v>
      </c>
      <c r="AV69" s="5">
        <f>resultOnlatexABC16Dec24!AF74</f>
        <v>1711.92</v>
      </c>
      <c r="AW69" s="7" t="s">
        <v>100</v>
      </c>
      <c r="AX69" s="5">
        <f>resultOnlatexABC16Dec24!AH74</f>
        <v>540501.1</v>
      </c>
      <c r="AY69" s="6" t="s">
        <v>102</v>
      </c>
      <c r="AZ69" s="8"/>
    </row>
    <row r="70" spans="2:52">
      <c r="B70" s="4" t="s">
        <v>74</v>
      </c>
      <c r="C70" s="4" t="s">
        <v>100</v>
      </c>
      <c r="D70" s="4" t="str">
        <f t="shared" si="33"/>
        <v>\textbf{</v>
      </c>
      <c r="E70" s="5">
        <f>resultOnlatexABC16Dec24!D75</f>
        <v>532976.86</v>
      </c>
      <c r="F70" s="4" t="str">
        <f t="shared" si="45"/>
        <v>}</v>
      </c>
      <c r="G70" s="4" t="s">
        <v>100</v>
      </c>
      <c r="H70" s="4" t="str">
        <f t="shared" si="46"/>
        <v>\textbf{</v>
      </c>
      <c r="I70" s="5">
        <f>resultOnlatexABC16Dec24!F75</f>
        <v>535436.84</v>
      </c>
      <c r="J70" s="4" t="str">
        <f t="shared" si="47"/>
        <v>}</v>
      </c>
      <c r="K70" s="4" t="s">
        <v>100</v>
      </c>
      <c r="L70" s="5">
        <f>resultOnlatexABC16Dec24!H75</f>
        <v>1136.58</v>
      </c>
      <c r="M70" s="4" t="s">
        <v>100</v>
      </c>
      <c r="N70" s="5">
        <f>resultOnlatexABC16Dec24!J75</f>
        <v>533136.6</v>
      </c>
      <c r="O70" s="4" t="s">
        <v>100</v>
      </c>
      <c r="P70" s="4" t="str">
        <f t="shared" si="34"/>
        <v/>
      </c>
      <c r="Q70" s="5">
        <f>resultOnlatexABC16Dec24!L75</f>
        <v>539582.80000000005</v>
      </c>
      <c r="R70" s="4" t="str">
        <f t="shared" si="35"/>
        <v/>
      </c>
      <c r="S70" s="4" t="s">
        <v>100</v>
      </c>
      <c r="T70" s="4" t="str">
        <f t="shared" si="48"/>
        <v/>
      </c>
      <c r="U70" s="5">
        <f>resultOnlatexABC16Dec24!N75</f>
        <v>540844.06000000006</v>
      </c>
      <c r="V70" s="4" t="str">
        <f t="shared" si="20"/>
        <v/>
      </c>
      <c r="W70" s="4" t="s">
        <v>100</v>
      </c>
      <c r="X70" s="5">
        <f>resultOnlatexABC16Dec24!P75</f>
        <v>1178.3</v>
      </c>
      <c r="Y70" s="4" t="s">
        <v>100</v>
      </c>
      <c r="Z70" s="5">
        <f>resultOnlatexABC16Dec24!R75</f>
        <v>539615.9</v>
      </c>
      <c r="AA70" s="4" t="s">
        <v>100</v>
      </c>
      <c r="AB70" s="4" t="str">
        <f t="shared" si="49"/>
        <v/>
      </c>
      <c r="AC70" s="5">
        <f>resultOnlatexABC16Dec24!T75</f>
        <v>538982.30000000005</v>
      </c>
      <c r="AD70" s="4" t="str">
        <f t="shared" si="42"/>
        <v/>
      </c>
      <c r="AE70" s="4" t="s">
        <v>100</v>
      </c>
      <c r="AF70" s="4" t="str">
        <f t="shared" si="43"/>
        <v/>
      </c>
      <c r="AG70" s="5">
        <f>resultOnlatexABC16Dec24!V75</f>
        <v>542276.1</v>
      </c>
      <c r="AH70" s="4" t="str">
        <f t="shared" si="44"/>
        <v/>
      </c>
      <c r="AI70" s="4" t="s">
        <v>100</v>
      </c>
      <c r="AJ70" s="5">
        <f>resultOnlatexABC16Dec24!X75</f>
        <v>1192.9100000000001</v>
      </c>
      <c r="AK70" s="4" t="s">
        <v>100</v>
      </c>
      <c r="AL70" s="5">
        <f>resultOnlatexABC16Dec24!Z75</f>
        <v>538753.19999999995</v>
      </c>
      <c r="AM70" s="4" t="s">
        <v>100</v>
      </c>
      <c r="AN70" s="4" t="str">
        <f t="shared" si="50"/>
        <v/>
      </c>
      <c r="AO70" s="5">
        <f>resultOnlatexABC16Dec24!AB75</f>
        <v>539400.9</v>
      </c>
      <c r="AP70" s="7" t="str">
        <f t="shared" si="39"/>
        <v/>
      </c>
      <c r="AQ70" s="7" t="s">
        <v>100</v>
      </c>
      <c r="AR70" s="7" t="str">
        <f t="shared" si="40"/>
        <v/>
      </c>
      <c r="AS70" s="5">
        <f>resultOnlatexABC16Dec24!AD75</f>
        <v>552551.04</v>
      </c>
      <c r="AT70" s="7" t="str">
        <f t="shared" si="41"/>
        <v/>
      </c>
      <c r="AU70" s="7" t="s">
        <v>100</v>
      </c>
      <c r="AV70" s="5">
        <f>resultOnlatexABC16Dec24!AF75</f>
        <v>1770.89</v>
      </c>
      <c r="AW70" s="7" t="s">
        <v>100</v>
      </c>
      <c r="AX70" s="5">
        <f>resultOnlatexABC16Dec24!AH75</f>
        <v>539120.1</v>
      </c>
      <c r="AY70" s="6" t="s">
        <v>102</v>
      </c>
      <c r="AZ70" s="8"/>
    </row>
    <row r="71" spans="2:52">
      <c r="B71" s="4" t="s">
        <v>75</v>
      </c>
      <c r="C71" s="4" t="s">
        <v>100</v>
      </c>
      <c r="D71" s="4" t="str">
        <f t="shared" si="33"/>
        <v>\textbf{</v>
      </c>
      <c r="E71" s="5">
        <f>resultOnlatexABC16Dec24!D76</f>
        <v>1096037.7</v>
      </c>
      <c r="F71" s="4" t="str">
        <f t="shared" si="45"/>
        <v>}</v>
      </c>
      <c r="G71" s="4" t="s">
        <v>100</v>
      </c>
      <c r="H71" s="4" t="str">
        <f t="shared" si="46"/>
        <v>\textbf{</v>
      </c>
      <c r="I71" s="5">
        <f>resultOnlatexABC16Dec24!F76</f>
        <v>1098380.31</v>
      </c>
      <c r="J71" s="4" t="str">
        <f t="shared" si="47"/>
        <v>}</v>
      </c>
      <c r="K71" s="4" t="s">
        <v>100</v>
      </c>
      <c r="L71" s="5">
        <f>resultOnlatexABC16Dec24!H76</f>
        <v>1121.46</v>
      </c>
      <c r="M71" s="4" t="s">
        <v>100</v>
      </c>
      <c r="N71" s="5">
        <f>resultOnlatexABC16Dec24!J76</f>
        <v>1095927.7</v>
      </c>
      <c r="O71" s="4" t="s">
        <v>100</v>
      </c>
      <c r="P71" s="4" t="str">
        <f t="shared" si="34"/>
        <v/>
      </c>
      <c r="Q71" s="5">
        <f>resultOnlatexABC16Dec24!L76</f>
        <v>1104855.6000000001</v>
      </c>
      <c r="R71" s="4" t="str">
        <f t="shared" si="35"/>
        <v/>
      </c>
      <c r="S71" s="4" t="s">
        <v>100</v>
      </c>
      <c r="T71" s="4" t="str">
        <f t="shared" si="48"/>
        <v/>
      </c>
      <c r="U71" s="5">
        <f>resultOnlatexABC16Dec24!N76</f>
        <v>1107698.1100000001</v>
      </c>
      <c r="V71" s="4" t="str">
        <f t="shared" si="20"/>
        <v/>
      </c>
      <c r="W71" s="4" t="s">
        <v>100</v>
      </c>
      <c r="X71" s="5">
        <f>resultOnlatexABC16Dec24!P76</f>
        <v>1025.08</v>
      </c>
      <c r="Y71" s="4" t="s">
        <v>100</v>
      </c>
      <c r="Z71" s="5">
        <f>resultOnlatexABC16Dec24!R76</f>
        <v>1104757.3999999999</v>
      </c>
      <c r="AA71" s="4" t="s">
        <v>100</v>
      </c>
      <c r="AB71" s="4" t="str">
        <f t="shared" si="49"/>
        <v/>
      </c>
      <c r="AC71" s="5">
        <f>resultOnlatexABC16Dec24!T76</f>
        <v>1121563.6000000001</v>
      </c>
      <c r="AD71" s="4" t="str">
        <f t="shared" si="42"/>
        <v/>
      </c>
      <c r="AE71" s="4" t="s">
        <v>100</v>
      </c>
      <c r="AF71" s="4" t="str">
        <f t="shared" si="43"/>
        <v/>
      </c>
      <c r="AG71" s="5">
        <f>resultOnlatexABC16Dec24!V76</f>
        <v>1142961.17</v>
      </c>
      <c r="AH71" s="4" t="str">
        <f t="shared" si="44"/>
        <v/>
      </c>
      <c r="AI71" s="4" t="s">
        <v>100</v>
      </c>
      <c r="AJ71" s="5">
        <f>resultOnlatexABC16Dec24!X76</f>
        <v>2288.61</v>
      </c>
      <c r="AK71" s="4" t="s">
        <v>100</v>
      </c>
      <c r="AL71" s="5">
        <f>resultOnlatexABC16Dec24!Z76</f>
        <v>1121165.2</v>
      </c>
      <c r="AM71" s="4" t="s">
        <v>100</v>
      </c>
      <c r="AN71" s="4" t="str">
        <f t="shared" si="50"/>
        <v/>
      </c>
      <c r="AO71" s="5">
        <f>resultOnlatexABC16Dec24!AB76</f>
        <v>1171623.3999999999</v>
      </c>
      <c r="AP71" s="7" t="str">
        <f t="shared" si="39"/>
        <v/>
      </c>
      <c r="AQ71" s="7" t="s">
        <v>100</v>
      </c>
      <c r="AR71" s="7" t="str">
        <f t="shared" si="40"/>
        <v/>
      </c>
      <c r="AS71" s="5">
        <f>resultOnlatexABC16Dec24!AD76</f>
        <v>1210631.8400000001</v>
      </c>
      <c r="AT71" s="7" t="str">
        <f t="shared" si="41"/>
        <v/>
      </c>
      <c r="AU71" s="7" t="s">
        <v>100</v>
      </c>
      <c r="AV71" s="5">
        <f>resultOnlatexABC16Dec24!AF76</f>
        <v>3492.25</v>
      </c>
      <c r="AW71" s="7" t="s">
        <v>100</v>
      </c>
      <c r="AX71" s="5">
        <f>resultOnlatexABC16Dec24!AH76</f>
        <v>1171464</v>
      </c>
      <c r="AY71" s="6" t="s">
        <v>102</v>
      </c>
      <c r="AZ71" s="8"/>
    </row>
    <row r="72" spans="2:52">
      <c r="B72" s="4" t="s">
        <v>76</v>
      </c>
      <c r="C72" s="4" t="s">
        <v>100</v>
      </c>
      <c r="D72" s="4" t="str">
        <f t="shared" si="33"/>
        <v>\textbf{</v>
      </c>
      <c r="E72" s="5">
        <f>resultOnlatexABC16Dec24!D77</f>
        <v>1098289.2</v>
      </c>
      <c r="F72" s="4" t="str">
        <f t="shared" si="45"/>
        <v>}</v>
      </c>
      <c r="G72" s="4" t="s">
        <v>100</v>
      </c>
      <c r="H72" s="4" t="str">
        <f t="shared" si="46"/>
        <v>\textbf{</v>
      </c>
      <c r="I72" s="5">
        <f>resultOnlatexABC16Dec24!F77</f>
        <v>1100530.49</v>
      </c>
      <c r="J72" s="4" t="str">
        <f t="shared" si="47"/>
        <v>}</v>
      </c>
      <c r="K72" s="4" t="s">
        <v>100</v>
      </c>
      <c r="L72" s="5">
        <f>resultOnlatexABC16Dec24!H77</f>
        <v>1185.06</v>
      </c>
      <c r="M72" s="4" t="s">
        <v>100</v>
      </c>
      <c r="N72" s="5">
        <f>resultOnlatexABC16Dec24!J77</f>
        <v>1098116.3999999999</v>
      </c>
      <c r="O72" s="4" t="s">
        <v>100</v>
      </c>
      <c r="P72" s="4" t="str">
        <f t="shared" si="34"/>
        <v/>
      </c>
      <c r="Q72" s="5">
        <f>resultOnlatexABC16Dec24!L77</f>
        <v>1105294.6000000001</v>
      </c>
      <c r="R72" s="4" t="str">
        <f t="shared" si="35"/>
        <v/>
      </c>
      <c r="S72" s="4" t="s">
        <v>100</v>
      </c>
      <c r="T72" s="4" t="str">
        <f t="shared" si="48"/>
        <v/>
      </c>
      <c r="U72" s="5">
        <f>resultOnlatexABC16Dec24!N77</f>
        <v>1108670.92</v>
      </c>
      <c r="V72" s="4" t="str">
        <f t="shared" si="20"/>
        <v/>
      </c>
      <c r="W72" s="4" t="s">
        <v>100</v>
      </c>
      <c r="X72" s="5">
        <f>resultOnlatexABC16Dec24!P77</f>
        <v>972.05</v>
      </c>
      <c r="Y72" s="4" t="s">
        <v>100</v>
      </c>
      <c r="Z72" s="5">
        <f>resultOnlatexABC16Dec24!R77</f>
        <v>1105334.3999999999</v>
      </c>
      <c r="AA72" s="4" t="s">
        <v>100</v>
      </c>
      <c r="AB72" s="4" t="str">
        <f t="shared" si="49"/>
        <v/>
      </c>
      <c r="AC72" s="5">
        <f>resultOnlatexABC16Dec24!T77</f>
        <v>1126571.3</v>
      </c>
      <c r="AD72" s="4" t="str">
        <f t="shared" si="42"/>
        <v/>
      </c>
      <c r="AE72" s="4" t="s">
        <v>100</v>
      </c>
      <c r="AF72" s="4" t="str">
        <f t="shared" si="43"/>
        <v/>
      </c>
      <c r="AG72" s="5">
        <f>resultOnlatexABC16Dec24!V77</f>
        <v>1161996.6000000001</v>
      </c>
      <c r="AH72" s="4" t="str">
        <f t="shared" si="44"/>
        <v/>
      </c>
      <c r="AI72" s="4" t="s">
        <v>100</v>
      </c>
      <c r="AJ72" s="5">
        <f>resultOnlatexABC16Dec24!X77</f>
        <v>2541.0500000000002</v>
      </c>
      <c r="AK72" s="4" t="s">
        <v>100</v>
      </c>
      <c r="AL72" s="5">
        <f>resultOnlatexABC16Dec24!Z77</f>
        <v>1126461.6000000001</v>
      </c>
      <c r="AM72" s="4" t="s">
        <v>100</v>
      </c>
      <c r="AN72" s="4" t="str">
        <f t="shared" si="50"/>
        <v/>
      </c>
      <c r="AO72" s="5">
        <f>resultOnlatexABC16Dec24!AB77</f>
        <v>1172733.8</v>
      </c>
      <c r="AP72" s="7" t="str">
        <f t="shared" si="39"/>
        <v/>
      </c>
      <c r="AQ72" s="7" t="s">
        <v>100</v>
      </c>
      <c r="AR72" s="7" t="str">
        <f t="shared" si="40"/>
        <v/>
      </c>
      <c r="AS72" s="5">
        <f>resultOnlatexABC16Dec24!AD77</f>
        <v>1200447.92</v>
      </c>
      <c r="AT72" s="7" t="str">
        <f t="shared" si="41"/>
        <v/>
      </c>
      <c r="AU72" s="7" t="s">
        <v>100</v>
      </c>
      <c r="AV72" s="5">
        <f>resultOnlatexABC16Dec24!AF77</f>
        <v>3887.53</v>
      </c>
      <c r="AW72" s="7" t="s">
        <v>100</v>
      </c>
      <c r="AX72" s="5">
        <f>resultOnlatexABC16Dec24!AH77</f>
        <v>1172570.8999999999</v>
      </c>
      <c r="AY72" s="6" t="s">
        <v>102</v>
      </c>
      <c r="AZ72" s="8"/>
    </row>
    <row r="73" spans="2:52">
      <c r="B73" s="4" t="s">
        <v>77</v>
      </c>
      <c r="C73" s="4" t="s">
        <v>100</v>
      </c>
      <c r="D73" s="4" t="str">
        <f t="shared" si="33"/>
        <v>\textbf{</v>
      </c>
      <c r="E73" s="5">
        <f>resultOnlatexABC16Dec24!D78</f>
        <v>2230299.83</v>
      </c>
      <c r="F73" s="4" t="str">
        <f t="shared" si="45"/>
        <v>}</v>
      </c>
      <c r="G73" s="4" t="s">
        <v>100</v>
      </c>
      <c r="H73" s="4" t="str">
        <f t="shared" si="46"/>
        <v>\textbf{</v>
      </c>
      <c r="I73" s="5">
        <f>resultOnlatexABC16Dec24!F78</f>
        <v>2235966.9700000002</v>
      </c>
      <c r="J73" s="4" t="str">
        <f t="shared" si="47"/>
        <v>}</v>
      </c>
      <c r="K73" s="4" t="s">
        <v>100</v>
      </c>
      <c r="L73" s="5">
        <f>resultOnlatexABC16Dec24!H78</f>
        <v>856.97</v>
      </c>
      <c r="M73" s="4" t="s">
        <v>100</v>
      </c>
      <c r="N73" s="5">
        <f>resultOnlatexABC16Dec24!J78</f>
        <v>2229970.4</v>
      </c>
      <c r="O73" s="4" t="s">
        <v>100</v>
      </c>
      <c r="P73" s="4" t="str">
        <f t="shared" si="34"/>
        <v/>
      </c>
      <c r="Q73" s="5">
        <f>resultOnlatexABC16Dec24!L78</f>
        <v>2243621.7999999998</v>
      </c>
      <c r="R73" s="4" t="str">
        <f t="shared" si="35"/>
        <v/>
      </c>
      <c r="S73" s="4" t="s">
        <v>100</v>
      </c>
      <c r="T73" s="4" t="str">
        <f t="shared" si="48"/>
        <v/>
      </c>
      <c r="U73" s="5">
        <f>resultOnlatexABC16Dec24!N78</f>
        <v>2245878.0099999998</v>
      </c>
      <c r="V73" s="4" t="str">
        <f t="shared" si="20"/>
        <v/>
      </c>
      <c r="W73" s="4" t="s">
        <v>100</v>
      </c>
      <c r="X73" s="5">
        <f>resultOnlatexABC16Dec24!P78</f>
        <v>721.69</v>
      </c>
      <c r="Y73" s="4" t="s">
        <v>100</v>
      </c>
      <c r="Z73" s="5">
        <f>resultOnlatexABC16Dec24!R78</f>
        <v>2243292.7999999998</v>
      </c>
      <c r="AA73" s="4" t="s">
        <v>100</v>
      </c>
      <c r="AB73" s="4" t="str">
        <f t="shared" si="49"/>
        <v/>
      </c>
      <c r="AC73" s="5">
        <f>resultOnlatexABC16Dec24!T78</f>
        <v>2340771</v>
      </c>
      <c r="AD73" s="4" t="str">
        <f t="shared" si="42"/>
        <v/>
      </c>
      <c r="AE73" s="4" t="s">
        <v>100</v>
      </c>
      <c r="AF73" s="4" t="str">
        <f t="shared" si="43"/>
        <v/>
      </c>
      <c r="AG73" s="5">
        <f>resultOnlatexABC16Dec24!V78</f>
        <v>2397956.2200000002</v>
      </c>
      <c r="AH73" s="4" t="str">
        <f t="shared" si="44"/>
        <v/>
      </c>
      <c r="AI73" s="4" t="s">
        <v>100</v>
      </c>
      <c r="AJ73" s="5">
        <f>resultOnlatexABC16Dec24!X78</f>
        <v>5126.92</v>
      </c>
      <c r="AK73" s="4" t="s">
        <v>100</v>
      </c>
      <c r="AL73" s="5">
        <f>resultOnlatexABC16Dec24!Z78</f>
        <v>2340610.6</v>
      </c>
      <c r="AM73" s="4" t="s">
        <v>100</v>
      </c>
      <c r="AN73" s="4" t="str">
        <f t="shared" si="50"/>
        <v/>
      </c>
      <c r="AO73" s="5">
        <f>resultOnlatexABC16Dec24!AB78</f>
        <v>2340771</v>
      </c>
      <c r="AP73" s="7" t="str">
        <f t="shared" si="39"/>
        <v/>
      </c>
      <c r="AQ73" s="7" t="s">
        <v>100</v>
      </c>
      <c r="AR73" s="7" t="str">
        <f t="shared" si="40"/>
        <v/>
      </c>
      <c r="AS73" s="5">
        <f>resultOnlatexABC16Dec24!AD78</f>
        <v>2397956.2200000002</v>
      </c>
      <c r="AT73" s="7" t="str">
        <f t="shared" si="41"/>
        <v/>
      </c>
      <c r="AU73" s="7" t="s">
        <v>100</v>
      </c>
      <c r="AV73" s="5">
        <f>resultOnlatexABC16Dec24!AF78</f>
        <v>8312.82</v>
      </c>
      <c r="AW73" s="7" t="s">
        <v>100</v>
      </c>
      <c r="AX73" s="5">
        <f>resultOnlatexABC16Dec24!AH78</f>
        <v>2340610.6</v>
      </c>
      <c r="AY73" s="6" t="s">
        <v>102</v>
      </c>
      <c r="AZ73" s="8"/>
    </row>
    <row r="74" spans="2:52">
      <c r="B74" s="4" t="s">
        <v>78</v>
      </c>
      <c r="C74" s="4" t="s">
        <v>100</v>
      </c>
      <c r="D74" s="4" t="str">
        <f t="shared" si="33"/>
        <v>\textbf{</v>
      </c>
      <c r="E74" s="5">
        <f>resultOnlatexABC16Dec24!D79</f>
        <v>2239781.38</v>
      </c>
      <c r="F74" s="4" t="str">
        <f t="shared" si="45"/>
        <v>}</v>
      </c>
      <c r="G74" s="4" t="s">
        <v>100</v>
      </c>
      <c r="H74" s="4" t="str">
        <f t="shared" si="46"/>
        <v>\textbf{</v>
      </c>
      <c r="I74" s="5">
        <f>resultOnlatexABC16Dec24!F79</f>
        <v>2244886.98</v>
      </c>
      <c r="J74" s="4" t="str">
        <f t="shared" si="47"/>
        <v>}</v>
      </c>
      <c r="K74" s="4" t="s">
        <v>100</v>
      </c>
      <c r="L74" s="5">
        <f>resultOnlatexABC16Dec24!H79</f>
        <v>868.4</v>
      </c>
      <c r="M74" s="4" t="s">
        <v>100</v>
      </c>
      <c r="N74" s="5">
        <f>resultOnlatexABC16Dec24!J79</f>
        <v>2239764.5</v>
      </c>
      <c r="O74" s="4" t="s">
        <v>100</v>
      </c>
      <c r="P74" s="4" t="str">
        <f t="shared" si="34"/>
        <v/>
      </c>
      <c r="Q74" s="5">
        <f>resultOnlatexABC16Dec24!L79</f>
        <v>2249184.4</v>
      </c>
      <c r="R74" s="4" t="str">
        <f t="shared" si="35"/>
        <v/>
      </c>
      <c r="S74" s="4" t="s">
        <v>100</v>
      </c>
      <c r="T74" s="4" t="str">
        <f t="shared" si="48"/>
        <v/>
      </c>
      <c r="U74" s="5">
        <f>resultOnlatexABC16Dec24!N79</f>
        <v>2252212.54</v>
      </c>
      <c r="V74" s="4" t="str">
        <f t="shared" si="20"/>
        <v/>
      </c>
      <c r="W74" s="4" t="s">
        <v>100</v>
      </c>
      <c r="X74" s="5">
        <f>resultOnlatexABC16Dec24!P79</f>
        <v>1305.1600000000001</v>
      </c>
      <c r="Y74" s="4" t="s">
        <v>100</v>
      </c>
      <c r="Z74" s="5">
        <f>resultOnlatexABC16Dec24!R79</f>
        <v>2248922.2999999998</v>
      </c>
      <c r="AA74" s="4" t="s">
        <v>100</v>
      </c>
      <c r="AB74" s="4" t="str">
        <f t="shared" si="49"/>
        <v/>
      </c>
      <c r="AC74" s="5">
        <f>resultOnlatexABC16Dec24!T79</f>
        <v>2407298.7999999998</v>
      </c>
      <c r="AD74" s="4" t="str">
        <f t="shared" si="42"/>
        <v/>
      </c>
      <c r="AE74" s="4" t="s">
        <v>100</v>
      </c>
      <c r="AF74" s="4" t="str">
        <f t="shared" si="43"/>
        <v/>
      </c>
      <c r="AG74" s="5">
        <f>resultOnlatexABC16Dec24!V79</f>
        <v>2442178.64</v>
      </c>
      <c r="AH74" s="4" t="str">
        <f t="shared" si="44"/>
        <v/>
      </c>
      <c r="AI74" s="4" t="s">
        <v>100</v>
      </c>
      <c r="AJ74" s="5">
        <f>resultOnlatexABC16Dec24!X79</f>
        <v>6456.42</v>
      </c>
      <c r="AK74" s="4" t="s">
        <v>100</v>
      </c>
      <c r="AL74" s="5">
        <f>resultOnlatexABC16Dec24!Z79</f>
        <v>2406960.4</v>
      </c>
      <c r="AM74" s="4" t="s">
        <v>100</v>
      </c>
      <c r="AN74" s="4" t="str">
        <f t="shared" si="50"/>
        <v/>
      </c>
      <c r="AO74" s="5">
        <f>resultOnlatexABC16Dec24!AB79</f>
        <v>2407298.7999999998</v>
      </c>
      <c r="AP74" s="7" t="str">
        <f>IF(AO74=MIN(E74,Q74,AC74,AO74),"}","")</f>
        <v/>
      </c>
      <c r="AQ74" s="7" t="s">
        <v>100</v>
      </c>
      <c r="AR74" s="7" t="str">
        <f>IF(AS74=MIN(I74,U74,AG74,AS74),"\textbf{","")</f>
        <v/>
      </c>
      <c r="AS74" s="5">
        <f>resultOnlatexABC16Dec24!AD79</f>
        <v>2442178.64</v>
      </c>
      <c r="AT74" s="7" t="str">
        <f>IF(AS74=MIN(I74,U74,AG74,AS74),"}","")</f>
        <v/>
      </c>
      <c r="AU74" s="7" t="s">
        <v>100</v>
      </c>
      <c r="AV74" s="5">
        <f>resultOnlatexABC16Dec24!AF79</f>
        <v>9953.2999999999993</v>
      </c>
      <c r="AW74" s="7" t="s">
        <v>100</v>
      </c>
      <c r="AX74" s="5">
        <f>resultOnlatexABC16Dec24!AH79</f>
        <v>2406960.4</v>
      </c>
      <c r="AY74" s="6" t="s">
        <v>102</v>
      </c>
      <c r="AZ74" s="8"/>
    </row>
    <row r="75" spans="2:52">
      <c r="B75" s="4" t="s">
        <v>119</v>
      </c>
      <c r="C75" s="4" t="s">
        <v>100</v>
      </c>
      <c r="E75" s="4">
        <v>23</v>
      </c>
      <c r="G75" s="4" t="s">
        <v>100</v>
      </c>
      <c r="I75" s="4">
        <v>23</v>
      </c>
      <c r="J75" s="4" t="str">
        <f t="shared" si="47"/>
        <v/>
      </c>
      <c r="K75" s="4" t="s">
        <v>100</v>
      </c>
      <c r="M75" s="4" t="s">
        <v>100</v>
      </c>
      <c r="O75" s="4" t="s">
        <v>100</v>
      </c>
      <c r="Q75" s="4">
        <v>0</v>
      </c>
      <c r="S75" s="4" t="s">
        <v>100</v>
      </c>
      <c r="U75" s="4">
        <v>0</v>
      </c>
      <c r="W75" s="4" t="s">
        <v>100</v>
      </c>
      <c r="Y75" s="4" t="s">
        <v>100</v>
      </c>
      <c r="AA75" s="4" t="s">
        <v>100</v>
      </c>
      <c r="AC75" s="4">
        <v>0</v>
      </c>
      <c r="AE75" s="4" t="s">
        <v>100</v>
      </c>
      <c r="AG75" s="4">
        <v>0</v>
      </c>
      <c r="AI75" s="4" t="s">
        <v>100</v>
      </c>
      <c r="AK75" s="4" t="s">
        <v>100</v>
      </c>
      <c r="AM75" s="4" t="s">
        <v>100</v>
      </c>
      <c r="AO75" s="4">
        <v>0</v>
      </c>
      <c r="AQ75" s="4" t="s">
        <v>100</v>
      </c>
      <c r="AS75" s="4">
        <v>0</v>
      </c>
      <c r="AY75" s="6" t="s">
        <v>102</v>
      </c>
    </row>
    <row r="76" spans="2:52">
      <c r="B76" s="4" t="s">
        <v>120</v>
      </c>
      <c r="C76" s="4" t="s">
        <v>100</v>
      </c>
      <c r="E76" s="4">
        <v>1</v>
      </c>
      <c r="G76" s="4" t="s">
        <v>100</v>
      </c>
      <c r="I76" s="4">
        <v>1</v>
      </c>
      <c r="J76" s="4" t="str">
        <f t="shared" si="47"/>
        <v/>
      </c>
      <c r="K76" s="4" t="s">
        <v>100</v>
      </c>
      <c r="M76" s="4" t="s">
        <v>100</v>
      </c>
      <c r="O76" s="4" t="s">
        <v>100</v>
      </c>
      <c r="Q76" s="4">
        <v>0</v>
      </c>
      <c r="S76" s="4" t="s">
        <v>100</v>
      </c>
      <c r="U76" s="4">
        <v>0</v>
      </c>
      <c r="W76" s="4" t="s">
        <v>100</v>
      </c>
      <c r="Y76" s="4" t="s">
        <v>100</v>
      </c>
      <c r="AA76" s="4" t="s">
        <v>100</v>
      </c>
      <c r="AC76" s="4">
        <v>1</v>
      </c>
      <c r="AE76" s="4" t="s">
        <v>100</v>
      </c>
      <c r="AF76" s="4" t="str">
        <f t="shared" ref="AF76:AF77" si="51">IF(AG76=MIN(I76,U76,AG76,AS76),"\textbf{","")</f>
        <v/>
      </c>
      <c r="AG76" s="4">
        <v>1</v>
      </c>
      <c r="AH76" s="4" t="str">
        <f t="shared" ref="AH76:AH77" si="52">IF(AG76=MIN(I76,U76,AG76,AS76),"}","")</f>
        <v/>
      </c>
      <c r="AI76" s="4" t="s">
        <v>100</v>
      </c>
      <c r="AK76" s="4" t="s">
        <v>100</v>
      </c>
      <c r="AM76" s="4" t="s">
        <v>100</v>
      </c>
      <c r="AO76" s="4">
        <v>1</v>
      </c>
      <c r="AQ76" s="4" t="s">
        <v>100</v>
      </c>
      <c r="AS76" s="4">
        <v>1</v>
      </c>
      <c r="AY76" s="6" t="s">
        <v>102</v>
      </c>
    </row>
    <row r="77" spans="2:52">
      <c r="B77" s="4" t="s">
        <v>121</v>
      </c>
      <c r="C77" s="4" t="s">
        <v>100</v>
      </c>
      <c r="E77" s="4">
        <v>0</v>
      </c>
      <c r="G77" s="4" t="s">
        <v>100</v>
      </c>
      <c r="I77" s="4">
        <v>0</v>
      </c>
      <c r="K77" s="4" t="s">
        <v>100</v>
      </c>
      <c r="M77" s="4" t="s">
        <v>100</v>
      </c>
      <c r="O77" s="4" t="s">
        <v>100</v>
      </c>
      <c r="Q77" s="4">
        <v>24</v>
      </c>
      <c r="S77" s="4" t="s">
        <v>100</v>
      </c>
      <c r="U77" s="4">
        <v>24</v>
      </c>
      <c r="W77" s="4" t="s">
        <v>100</v>
      </c>
      <c r="Y77" s="4" t="s">
        <v>100</v>
      </c>
      <c r="AA77" s="4" t="s">
        <v>100</v>
      </c>
      <c r="AC77" s="4">
        <v>23</v>
      </c>
      <c r="AE77" s="4" t="s">
        <v>100</v>
      </c>
      <c r="AF77" s="4" t="str">
        <f t="shared" si="51"/>
        <v/>
      </c>
      <c r="AG77" s="4">
        <v>23</v>
      </c>
      <c r="AH77" s="4" t="str">
        <f t="shared" si="52"/>
        <v/>
      </c>
      <c r="AI77" s="4" t="s">
        <v>100</v>
      </c>
      <c r="AK77" s="4" t="s">
        <v>100</v>
      </c>
      <c r="AM77" s="4" t="s">
        <v>100</v>
      </c>
      <c r="AO77" s="4">
        <v>23</v>
      </c>
      <c r="AQ77" s="4" t="s">
        <v>100</v>
      </c>
      <c r="AS77" s="4">
        <v>23</v>
      </c>
      <c r="AY77" s="6" t="s">
        <v>102</v>
      </c>
    </row>
    <row r="79" spans="2:52">
      <c r="B79" s="4" t="s">
        <v>119</v>
      </c>
      <c r="C79" s="4" t="s">
        <v>100</v>
      </c>
      <c r="E79" s="4">
        <v>24</v>
      </c>
      <c r="F79" s="4" t="str">
        <f t="shared" ref="F79" si="53">IF(E79=MIN(E79,Q79,AC79,AO79),"}","")</f>
        <v/>
      </c>
      <c r="G79" s="4" t="s">
        <v>100</v>
      </c>
      <c r="H79" s="4" t="str">
        <f t="shared" ref="H79" si="54">IF(I79=MIN(I79,U79,AG79,AS79),"\textbf{","")</f>
        <v/>
      </c>
      <c r="I79" s="4">
        <v>24</v>
      </c>
      <c r="J79" s="4" t="str">
        <f t="shared" ref="J79" si="55">IF(I79=MIN(I79,U79,AG79,AS79),"}","")</f>
        <v/>
      </c>
      <c r="K79" s="4" t="s">
        <v>100</v>
      </c>
      <c r="M79" s="4" t="s">
        <v>100</v>
      </c>
      <c r="O79" s="4" t="s">
        <v>100</v>
      </c>
      <c r="Q79" s="4">
        <v>0</v>
      </c>
      <c r="S79" s="4" t="s">
        <v>100</v>
      </c>
      <c r="U79" s="4">
        <v>0</v>
      </c>
      <c r="W79" s="4" t="s">
        <v>100</v>
      </c>
      <c r="Y79" s="4" t="s">
        <v>100</v>
      </c>
      <c r="AA79" s="4" t="s">
        <v>100</v>
      </c>
      <c r="AC79" s="4">
        <v>0</v>
      </c>
      <c r="AE79" s="4" t="s">
        <v>100</v>
      </c>
      <c r="AG79" s="4">
        <v>0</v>
      </c>
      <c r="AI79" s="4" t="s">
        <v>100</v>
      </c>
      <c r="AK79" s="4" t="s">
        <v>100</v>
      </c>
      <c r="AM79" s="4" t="s">
        <v>100</v>
      </c>
      <c r="AO79" s="4">
        <v>0</v>
      </c>
      <c r="AQ79" s="4" t="s">
        <v>100</v>
      </c>
      <c r="AS79" s="4">
        <v>0</v>
      </c>
      <c r="AY79" s="6" t="s">
        <v>102</v>
      </c>
    </row>
    <row r="80" spans="2:52">
      <c r="B80" s="4" t="s">
        <v>120</v>
      </c>
      <c r="C80" s="4" t="s">
        <v>100</v>
      </c>
      <c r="E80" s="4">
        <v>0</v>
      </c>
      <c r="G80" s="4" t="s">
        <v>100</v>
      </c>
      <c r="I80" s="4">
        <v>0</v>
      </c>
      <c r="K80" s="4" t="s">
        <v>100</v>
      </c>
      <c r="M80" s="4" t="s">
        <v>100</v>
      </c>
      <c r="O80" s="4" t="s">
        <v>100</v>
      </c>
      <c r="Q80" s="4">
        <v>0</v>
      </c>
      <c r="S80" s="4" t="s">
        <v>100</v>
      </c>
      <c r="U80" s="4">
        <v>0</v>
      </c>
      <c r="W80" s="4" t="s">
        <v>100</v>
      </c>
      <c r="Y80" s="4" t="s">
        <v>100</v>
      </c>
      <c r="AA80" s="4" t="s">
        <v>100</v>
      </c>
      <c r="AC80" s="4">
        <v>0</v>
      </c>
      <c r="AE80" s="4" t="s">
        <v>100</v>
      </c>
      <c r="AG80" s="4">
        <v>0</v>
      </c>
      <c r="AI80" s="4" t="s">
        <v>100</v>
      </c>
      <c r="AK80" s="4" t="s">
        <v>100</v>
      </c>
      <c r="AM80" s="4" t="s">
        <v>100</v>
      </c>
      <c r="AO80" s="4">
        <v>0</v>
      </c>
      <c r="AQ80" s="4" t="s">
        <v>100</v>
      </c>
      <c r="AS80" s="4">
        <v>0</v>
      </c>
      <c r="AY80" s="6" t="s">
        <v>102</v>
      </c>
    </row>
    <row r="81" spans="2:51">
      <c r="B81" s="4" t="s">
        <v>121</v>
      </c>
      <c r="C81" s="4" t="s">
        <v>100</v>
      </c>
      <c r="E81" s="4">
        <v>0</v>
      </c>
      <c r="G81" s="4" t="s">
        <v>100</v>
      </c>
      <c r="I81" s="4">
        <v>0</v>
      </c>
      <c r="K81" s="4" t="s">
        <v>100</v>
      </c>
      <c r="M81" s="4" t="s">
        <v>100</v>
      </c>
      <c r="O81" s="4" t="s">
        <v>100</v>
      </c>
      <c r="Q81" s="4">
        <v>24</v>
      </c>
      <c r="S81" s="4" t="s">
        <v>100</v>
      </c>
      <c r="U81" s="4">
        <v>24</v>
      </c>
      <c r="W81" s="4" t="s">
        <v>100</v>
      </c>
      <c r="Y81" s="4" t="s">
        <v>100</v>
      </c>
      <c r="AA81" s="4" t="s">
        <v>100</v>
      </c>
      <c r="AC81" s="4">
        <v>24</v>
      </c>
      <c r="AE81" s="4" t="s">
        <v>100</v>
      </c>
      <c r="AF81" s="4" t="str">
        <f t="shared" ref="AF81" si="56">IF(AG81=MIN(I81,U81,AG81,AS81),"\textbf{","")</f>
        <v/>
      </c>
      <c r="AG81" s="4">
        <v>24</v>
      </c>
      <c r="AH81" s="4" t="str">
        <f t="shared" ref="AH81" si="57">IF(AG81=MIN(I81,U81,AG81,AS81),"}","")</f>
        <v/>
      </c>
      <c r="AI81" s="4" t="s">
        <v>100</v>
      </c>
      <c r="AK81" s="4" t="s">
        <v>100</v>
      </c>
      <c r="AM81" s="4" t="s">
        <v>100</v>
      </c>
      <c r="AO81" s="4">
        <v>24</v>
      </c>
      <c r="AQ81" s="4" t="s">
        <v>100</v>
      </c>
      <c r="AS81" s="4">
        <v>24</v>
      </c>
      <c r="AY81" s="6" t="s">
        <v>102</v>
      </c>
    </row>
    <row r="83" spans="2:51">
      <c r="B83" s="4" t="s">
        <v>119</v>
      </c>
      <c r="C83" s="4" t="s">
        <v>100</v>
      </c>
      <c r="E83" s="4">
        <v>19</v>
      </c>
      <c r="G83" s="4" t="s">
        <v>100</v>
      </c>
      <c r="I83" s="4">
        <v>22</v>
      </c>
      <c r="K83" s="4" t="s">
        <v>100</v>
      </c>
      <c r="M83" s="4" t="s">
        <v>100</v>
      </c>
      <c r="O83" s="4" t="s">
        <v>100</v>
      </c>
      <c r="Q83" s="4">
        <v>1</v>
      </c>
      <c r="S83" s="4" t="s">
        <v>100</v>
      </c>
      <c r="U83" s="4">
        <v>1</v>
      </c>
      <c r="W83" s="4" t="s">
        <v>100</v>
      </c>
      <c r="Y83" s="4" t="s">
        <v>100</v>
      </c>
      <c r="AA83" s="4" t="s">
        <v>100</v>
      </c>
      <c r="AC83" s="4">
        <v>2</v>
      </c>
      <c r="AE83" s="4" t="s">
        <v>100</v>
      </c>
      <c r="AG83" s="4">
        <v>0</v>
      </c>
      <c r="AI83" s="4" t="s">
        <v>100</v>
      </c>
      <c r="AK83" s="4" t="s">
        <v>100</v>
      </c>
      <c r="AM83" s="4" t="s">
        <v>100</v>
      </c>
      <c r="AO83" s="4">
        <v>3</v>
      </c>
      <c r="AQ83" s="4" t="s">
        <v>100</v>
      </c>
      <c r="AS83" s="4">
        <v>1</v>
      </c>
      <c r="AY83" s="6" t="s">
        <v>102</v>
      </c>
    </row>
    <row r="84" spans="2:51">
      <c r="B84" s="4" t="s">
        <v>120</v>
      </c>
      <c r="C84" s="4" t="s">
        <v>100</v>
      </c>
      <c r="E84" s="4">
        <v>0</v>
      </c>
      <c r="G84" s="4" t="s">
        <v>100</v>
      </c>
      <c r="I84" s="4">
        <v>0</v>
      </c>
      <c r="K84" s="4" t="s">
        <v>100</v>
      </c>
      <c r="M84" s="4" t="s">
        <v>100</v>
      </c>
      <c r="O84" s="4" t="s">
        <v>100</v>
      </c>
      <c r="Q84" s="4">
        <v>0</v>
      </c>
      <c r="S84" s="4" t="s">
        <v>100</v>
      </c>
      <c r="U84" s="4">
        <v>0</v>
      </c>
      <c r="W84" s="4" t="s">
        <v>100</v>
      </c>
      <c r="Y84" s="4" t="s">
        <v>100</v>
      </c>
      <c r="AA84" s="4" t="s">
        <v>100</v>
      </c>
      <c r="AC84" s="4">
        <v>0</v>
      </c>
      <c r="AE84" s="4" t="s">
        <v>100</v>
      </c>
      <c r="AG84" s="4">
        <v>0</v>
      </c>
      <c r="AI84" s="4" t="s">
        <v>100</v>
      </c>
      <c r="AK84" s="4" t="s">
        <v>100</v>
      </c>
      <c r="AM84" s="4" t="s">
        <v>100</v>
      </c>
      <c r="AO84" s="4">
        <v>0</v>
      </c>
      <c r="AQ84" s="4" t="s">
        <v>100</v>
      </c>
      <c r="AS84" s="4">
        <v>0</v>
      </c>
      <c r="AY84" s="6" t="s">
        <v>102</v>
      </c>
    </row>
    <row r="85" spans="2:51">
      <c r="B85" s="4" t="s">
        <v>121</v>
      </c>
      <c r="C85" s="4" t="s">
        <v>100</v>
      </c>
      <c r="E85" s="4">
        <v>5</v>
      </c>
      <c r="G85" s="4" t="s">
        <v>100</v>
      </c>
      <c r="I85" s="4">
        <v>2</v>
      </c>
      <c r="K85" s="4" t="s">
        <v>100</v>
      </c>
      <c r="M85" s="4" t="s">
        <v>100</v>
      </c>
      <c r="O85" s="4" t="s">
        <v>100</v>
      </c>
      <c r="Q85" s="4">
        <v>23</v>
      </c>
      <c r="S85" s="4" t="s">
        <v>100</v>
      </c>
      <c r="U85" s="4">
        <v>23</v>
      </c>
      <c r="W85" s="4" t="s">
        <v>100</v>
      </c>
      <c r="Y85" s="4" t="s">
        <v>100</v>
      </c>
      <c r="AA85" s="4" t="s">
        <v>100</v>
      </c>
      <c r="AC85" s="4">
        <v>22</v>
      </c>
      <c r="AE85" s="4" t="s">
        <v>100</v>
      </c>
      <c r="AG85" s="4">
        <v>24</v>
      </c>
      <c r="AI85" s="4" t="s">
        <v>100</v>
      </c>
      <c r="AK85" s="4" t="s">
        <v>100</v>
      </c>
      <c r="AM85" s="4" t="s">
        <v>100</v>
      </c>
      <c r="AO85" s="4">
        <v>21</v>
      </c>
      <c r="AQ85" s="4" t="s">
        <v>100</v>
      </c>
      <c r="AS85" s="4">
        <v>23</v>
      </c>
      <c r="AY85" s="6" t="s">
        <v>102</v>
      </c>
    </row>
    <row r="87" spans="2:51">
      <c r="AY87" s="6" t="s">
        <v>102</v>
      </c>
    </row>
    <row r="88" spans="2:51">
      <c r="AY88" s="6" t="s">
        <v>102</v>
      </c>
    </row>
    <row r="89" spans="2:51">
      <c r="AY89" s="6" t="s">
        <v>102</v>
      </c>
    </row>
    <row r="96" spans="2:51">
      <c r="F96" s="4" t="s">
        <v>100</v>
      </c>
      <c r="H96" s="4" t="s">
        <v>100</v>
      </c>
      <c r="I96" s="4" t="s">
        <v>122</v>
      </c>
      <c r="M96" s="4" t="s">
        <v>123</v>
      </c>
      <c r="Q96" s="4" t="s">
        <v>124</v>
      </c>
      <c r="U96" s="4" t="s">
        <v>125</v>
      </c>
    </row>
    <row r="97" spans="5:24">
      <c r="F97" s="4" t="s">
        <v>100</v>
      </c>
      <c r="H97" s="4" t="s">
        <v>100</v>
      </c>
      <c r="I97" s="4" t="s">
        <v>96</v>
      </c>
      <c r="J97" s="4" t="s">
        <v>100</v>
      </c>
      <c r="K97" s="4" t="s">
        <v>97</v>
      </c>
      <c r="L97" s="4" t="s">
        <v>100</v>
      </c>
      <c r="M97" s="4" t="s">
        <v>96</v>
      </c>
      <c r="N97" s="4" t="s">
        <v>100</v>
      </c>
      <c r="O97" s="4" t="s">
        <v>97</v>
      </c>
      <c r="P97" s="4" t="s">
        <v>100</v>
      </c>
      <c r="Q97" s="4" t="s">
        <v>96</v>
      </c>
      <c r="R97" s="4" t="s">
        <v>100</v>
      </c>
      <c r="S97" s="4" t="s">
        <v>97</v>
      </c>
      <c r="T97" s="4" t="s">
        <v>100</v>
      </c>
      <c r="U97" s="4" t="s">
        <v>96</v>
      </c>
      <c r="V97" s="4" t="s">
        <v>100</v>
      </c>
      <c r="W97" s="4" t="s">
        <v>97</v>
      </c>
      <c r="X97" s="10" t="s">
        <v>102</v>
      </c>
    </row>
    <row r="98" spans="5:24">
      <c r="E98" s="4" t="s">
        <v>116</v>
      </c>
      <c r="F98" s="4" t="s">
        <v>100</v>
      </c>
      <c r="G98" s="4" t="s">
        <v>119</v>
      </c>
      <c r="H98" s="4" t="s">
        <v>100</v>
      </c>
      <c r="I98" s="4">
        <f>E79</f>
        <v>24</v>
      </c>
      <c r="J98" s="4" t="s">
        <v>100</v>
      </c>
      <c r="K98" s="4">
        <f>I79</f>
        <v>24</v>
      </c>
      <c r="L98" s="4" t="s">
        <v>100</v>
      </c>
      <c r="M98" s="4">
        <f>Q79</f>
        <v>0</v>
      </c>
      <c r="N98" s="4" t="s">
        <v>100</v>
      </c>
      <c r="O98" s="4">
        <f>U79</f>
        <v>0</v>
      </c>
      <c r="P98" s="4" t="s">
        <v>100</v>
      </c>
      <c r="Q98" s="4">
        <f>AC79</f>
        <v>0</v>
      </c>
      <c r="R98" s="4" t="s">
        <v>100</v>
      </c>
      <c r="S98" s="4">
        <f>AG79</f>
        <v>0</v>
      </c>
      <c r="T98" s="4" t="s">
        <v>100</v>
      </c>
      <c r="U98" s="4">
        <f>AO79</f>
        <v>0</v>
      </c>
      <c r="V98" s="4" t="s">
        <v>100</v>
      </c>
      <c r="W98" s="4">
        <f>AS79</f>
        <v>0</v>
      </c>
      <c r="X98" s="10" t="s">
        <v>102</v>
      </c>
    </row>
    <row r="99" spans="5:24">
      <c r="F99" s="4" t="s">
        <v>100</v>
      </c>
      <c r="G99" s="4" t="s">
        <v>120</v>
      </c>
      <c r="H99" s="4" t="s">
        <v>100</v>
      </c>
      <c r="I99" s="4">
        <f>E80</f>
        <v>0</v>
      </c>
      <c r="J99" s="4" t="s">
        <v>100</v>
      </c>
      <c r="K99" s="4">
        <f>I80</f>
        <v>0</v>
      </c>
      <c r="L99" s="4" t="s">
        <v>100</v>
      </c>
      <c r="M99" s="4">
        <f>Q80</f>
        <v>0</v>
      </c>
      <c r="N99" s="4" t="s">
        <v>100</v>
      </c>
      <c r="O99" s="4">
        <f>U80</f>
        <v>0</v>
      </c>
      <c r="P99" s="4" t="s">
        <v>100</v>
      </c>
      <c r="Q99" s="4">
        <f>AC80</f>
        <v>0</v>
      </c>
      <c r="R99" s="4" t="s">
        <v>100</v>
      </c>
      <c r="S99" s="4">
        <f>AG80</f>
        <v>0</v>
      </c>
      <c r="T99" s="4" t="s">
        <v>100</v>
      </c>
      <c r="U99" s="4">
        <f>AO80</f>
        <v>0</v>
      </c>
      <c r="V99" s="4" t="s">
        <v>100</v>
      </c>
      <c r="W99" s="4">
        <f>AS80</f>
        <v>0</v>
      </c>
      <c r="X99" s="10" t="s">
        <v>102</v>
      </c>
    </row>
    <row r="100" spans="5:24">
      <c r="F100" s="4" t="s">
        <v>100</v>
      </c>
      <c r="G100" s="4" t="s">
        <v>121</v>
      </c>
      <c r="H100" s="4" t="s">
        <v>100</v>
      </c>
      <c r="I100" s="4">
        <f>E81</f>
        <v>0</v>
      </c>
      <c r="J100" s="4" t="s">
        <v>100</v>
      </c>
      <c r="K100" s="4">
        <f>I81</f>
        <v>0</v>
      </c>
      <c r="L100" s="4" t="s">
        <v>100</v>
      </c>
      <c r="M100" s="4">
        <f>Q81</f>
        <v>24</v>
      </c>
      <c r="N100" s="4" t="s">
        <v>100</v>
      </c>
      <c r="O100" s="4">
        <f>U81</f>
        <v>24</v>
      </c>
      <c r="P100" s="4" t="s">
        <v>100</v>
      </c>
      <c r="Q100" s="4">
        <f>AC81</f>
        <v>24</v>
      </c>
      <c r="R100" s="4" t="s">
        <v>100</v>
      </c>
      <c r="S100" s="4">
        <f>AG81</f>
        <v>24</v>
      </c>
      <c r="T100" s="4" t="s">
        <v>100</v>
      </c>
      <c r="U100" s="4">
        <f>AO81</f>
        <v>24</v>
      </c>
      <c r="V100" s="4" t="s">
        <v>100</v>
      </c>
      <c r="W100" s="4">
        <f>AS81</f>
        <v>24</v>
      </c>
      <c r="X100" s="10" t="s">
        <v>102</v>
      </c>
    </row>
    <row r="101" spans="5:24">
      <c r="F101" s="4" t="s">
        <v>100</v>
      </c>
      <c r="G101" s="4" t="s">
        <v>126</v>
      </c>
      <c r="H101" s="4" t="s">
        <v>100</v>
      </c>
      <c r="I101" s="4">
        <v>0</v>
      </c>
      <c r="J101" s="4" t="s">
        <v>100</v>
      </c>
      <c r="K101" s="4">
        <v>0.11405917368998</v>
      </c>
      <c r="L101" s="4" t="s">
        <v>100</v>
      </c>
      <c r="M101" s="9">
        <v>1.5893397948735</v>
      </c>
      <c r="N101" s="4" t="s">
        <v>100</v>
      </c>
      <c r="O101" s="4">
        <v>1.7279020631564099</v>
      </c>
      <c r="P101" s="4" t="s">
        <v>100</v>
      </c>
      <c r="Q101" s="9">
        <v>0.233241046244756</v>
      </c>
      <c r="R101" s="4" t="s">
        <v>100</v>
      </c>
      <c r="S101" s="4">
        <v>0.345885023076616</v>
      </c>
      <c r="T101" s="4" t="s">
        <v>100</v>
      </c>
      <c r="U101" s="9">
        <v>0.32444937417977399</v>
      </c>
      <c r="V101" s="4" t="s">
        <v>100</v>
      </c>
      <c r="W101" s="4">
        <v>0.447140232970903</v>
      </c>
      <c r="X101" s="10" t="s">
        <v>102</v>
      </c>
    </row>
    <row r="102" spans="5:24">
      <c r="E102" s="4" t="s">
        <v>113</v>
      </c>
      <c r="X102" s="10"/>
    </row>
    <row r="103" spans="5:24">
      <c r="E103" s="4" t="s">
        <v>117</v>
      </c>
      <c r="F103" s="4" t="s">
        <v>100</v>
      </c>
      <c r="G103" s="4" t="s">
        <v>119</v>
      </c>
      <c r="H103" s="4" t="s">
        <v>100</v>
      </c>
      <c r="I103" s="4">
        <f>E83</f>
        <v>19</v>
      </c>
      <c r="J103" s="4" t="s">
        <v>100</v>
      </c>
      <c r="K103" s="4">
        <f>I83</f>
        <v>22</v>
      </c>
      <c r="L103" s="4" t="s">
        <v>100</v>
      </c>
      <c r="M103" s="4">
        <f>Q83</f>
        <v>1</v>
      </c>
      <c r="N103" s="4" t="s">
        <v>100</v>
      </c>
      <c r="O103" s="4">
        <f>U83</f>
        <v>1</v>
      </c>
      <c r="P103" s="4" t="s">
        <v>100</v>
      </c>
      <c r="Q103" s="4">
        <f>AC83</f>
        <v>2</v>
      </c>
      <c r="R103" s="4" t="s">
        <v>100</v>
      </c>
      <c r="S103" s="4">
        <f>AG83</f>
        <v>0</v>
      </c>
      <c r="T103" s="4" t="s">
        <v>100</v>
      </c>
      <c r="U103" s="4">
        <f>AO83</f>
        <v>3</v>
      </c>
      <c r="V103" s="4" t="s">
        <v>100</v>
      </c>
      <c r="W103" s="4">
        <f>AS83</f>
        <v>1</v>
      </c>
      <c r="X103" s="10" t="s">
        <v>102</v>
      </c>
    </row>
    <row r="104" spans="5:24">
      <c r="F104" s="4" t="s">
        <v>100</v>
      </c>
      <c r="G104" s="4" t="s">
        <v>120</v>
      </c>
      <c r="H104" s="4" t="s">
        <v>100</v>
      </c>
      <c r="I104" s="4">
        <f>E84</f>
        <v>0</v>
      </c>
      <c r="J104" s="4" t="s">
        <v>100</v>
      </c>
      <c r="K104" s="4">
        <f>I84</f>
        <v>0</v>
      </c>
      <c r="L104" s="4" t="s">
        <v>100</v>
      </c>
      <c r="M104" s="4">
        <f>Q84</f>
        <v>0</v>
      </c>
      <c r="N104" s="4" t="s">
        <v>100</v>
      </c>
      <c r="O104" s="4">
        <f>U84</f>
        <v>0</v>
      </c>
      <c r="P104" s="4" t="s">
        <v>100</v>
      </c>
      <c r="Q104" s="4">
        <f>AC84</f>
        <v>0</v>
      </c>
      <c r="R104" s="4" t="s">
        <v>100</v>
      </c>
      <c r="S104" s="4">
        <f>AG84</f>
        <v>0</v>
      </c>
      <c r="T104" s="4" t="s">
        <v>100</v>
      </c>
      <c r="U104" s="4">
        <f>AO84</f>
        <v>0</v>
      </c>
      <c r="V104" s="4" t="s">
        <v>100</v>
      </c>
      <c r="W104" s="4">
        <f>AS84</f>
        <v>0</v>
      </c>
      <c r="X104" s="10" t="s">
        <v>102</v>
      </c>
    </row>
    <row r="105" spans="5:24">
      <c r="F105" s="4" t="s">
        <v>100</v>
      </c>
      <c r="G105" s="4" t="s">
        <v>121</v>
      </c>
      <c r="H105" s="4" t="s">
        <v>100</v>
      </c>
      <c r="I105" s="4">
        <f>E85</f>
        <v>5</v>
      </c>
      <c r="J105" s="4" t="s">
        <v>100</v>
      </c>
      <c r="K105" s="4">
        <f>I85</f>
        <v>2</v>
      </c>
      <c r="L105" s="4" t="s">
        <v>100</v>
      </c>
      <c r="M105" s="4">
        <f>Q85</f>
        <v>23</v>
      </c>
      <c r="N105" s="4" t="s">
        <v>100</v>
      </c>
      <c r="O105" s="4">
        <f>U85</f>
        <v>23</v>
      </c>
      <c r="P105" s="4" t="s">
        <v>100</v>
      </c>
      <c r="Q105" s="4">
        <f>AC85</f>
        <v>22</v>
      </c>
      <c r="R105" s="4" t="s">
        <v>100</v>
      </c>
      <c r="S105" s="4">
        <f>AG85</f>
        <v>24</v>
      </c>
      <c r="T105" s="4" t="s">
        <v>100</v>
      </c>
      <c r="U105" s="4">
        <f>AO85</f>
        <v>21</v>
      </c>
      <c r="V105" s="4" t="s">
        <v>100</v>
      </c>
      <c r="W105" s="4">
        <f>AS85</f>
        <v>23</v>
      </c>
      <c r="X105" s="10" t="s">
        <v>102</v>
      </c>
    </row>
    <row r="106" spans="5:24">
      <c r="F106" s="4" t="s">
        <v>100</v>
      </c>
      <c r="G106" s="4" t="s">
        <v>126</v>
      </c>
      <c r="H106" s="4" t="s">
        <v>100</v>
      </c>
      <c r="I106" s="4">
        <v>0</v>
      </c>
      <c r="J106" s="4" t="s">
        <v>100</v>
      </c>
      <c r="K106" s="4">
        <v>6.4909996884388796E-2</v>
      </c>
      <c r="L106" s="4" t="s">
        <v>100</v>
      </c>
      <c r="M106" s="4">
        <v>1.1411640184240801</v>
      </c>
      <c r="N106" s="4" t="s">
        <v>100</v>
      </c>
      <c r="O106" s="4">
        <v>1.22909521193166</v>
      </c>
      <c r="P106" s="4" t="s">
        <v>100</v>
      </c>
      <c r="Q106" s="4">
        <v>0.36839446010150401</v>
      </c>
      <c r="R106" s="4" t="s">
        <v>100</v>
      </c>
      <c r="S106" s="4">
        <v>0.53487410138692204</v>
      </c>
      <c r="T106" s="4" t="s">
        <v>100</v>
      </c>
      <c r="U106" s="4">
        <v>0.46646101822943398</v>
      </c>
      <c r="V106" s="4" t="s">
        <v>100</v>
      </c>
      <c r="W106" s="4">
        <v>0.63103799797289395</v>
      </c>
      <c r="X106" s="10" t="s">
        <v>102</v>
      </c>
    </row>
    <row r="107" spans="5:24">
      <c r="E107" s="4" t="s">
        <v>113</v>
      </c>
      <c r="X107" s="10"/>
    </row>
    <row r="108" spans="5:24">
      <c r="E108" s="4" t="s">
        <v>118</v>
      </c>
      <c r="F108" s="4" t="s">
        <v>100</v>
      </c>
      <c r="G108" s="4" t="s">
        <v>119</v>
      </c>
      <c r="H108" s="4" t="s">
        <v>100</v>
      </c>
      <c r="I108" s="4">
        <f>E87</f>
        <v>0</v>
      </c>
      <c r="J108" s="4" t="s">
        <v>100</v>
      </c>
      <c r="K108" s="4">
        <f>I87</f>
        <v>0</v>
      </c>
      <c r="L108" s="4" t="s">
        <v>100</v>
      </c>
      <c r="M108" s="4">
        <f>Q87</f>
        <v>0</v>
      </c>
      <c r="N108" s="4" t="s">
        <v>100</v>
      </c>
      <c r="O108" s="4">
        <f>U87</f>
        <v>0</v>
      </c>
      <c r="P108" s="4" t="s">
        <v>100</v>
      </c>
      <c r="Q108" s="4">
        <f>AC87</f>
        <v>0</v>
      </c>
      <c r="R108" s="4" t="s">
        <v>100</v>
      </c>
      <c r="S108" s="4">
        <f>AG87</f>
        <v>0</v>
      </c>
      <c r="T108" s="4" t="s">
        <v>100</v>
      </c>
      <c r="U108" s="4">
        <f>AO87</f>
        <v>0</v>
      </c>
      <c r="V108" s="4" t="s">
        <v>100</v>
      </c>
      <c r="W108" s="4">
        <f>AS87</f>
        <v>0</v>
      </c>
      <c r="X108" s="10" t="s">
        <v>102</v>
      </c>
    </row>
    <row r="109" spans="5:24">
      <c r="F109" s="4" t="s">
        <v>100</v>
      </c>
      <c r="G109" s="4" t="s">
        <v>120</v>
      </c>
      <c r="H109" s="4" t="s">
        <v>100</v>
      </c>
      <c r="I109" s="4">
        <f>E88</f>
        <v>0</v>
      </c>
      <c r="J109" s="4" t="s">
        <v>100</v>
      </c>
      <c r="K109" s="4">
        <f>I88</f>
        <v>0</v>
      </c>
      <c r="L109" s="4" t="s">
        <v>100</v>
      </c>
      <c r="M109" s="4">
        <f>Q88</f>
        <v>0</v>
      </c>
      <c r="N109" s="4" t="s">
        <v>100</v>
      </c>
      <c r="O109" s="4">
        <f>U88</f>
        <v>0</v>
      </c>
      <c r="P109" s="4" t="s">
        <v>100</v>
      </c>
      <c r="Q109" s="4">
        <f>AC88</f>
        <v>0</v>
      </c>
      <c r="R109" s="4" t="s">
        <v>100</v>
      </c>
      <c r="S109" s="4">
        <f>AG88</f>
        <v>0</v>
      </c>
      <c r="T109" s="4" t="s">
        <v>100</v>
      </c>
      <c r="U109" s="4">
        <f>AO88</f>
        <v>0</v>
      </c>
      <c r="V109" s="4" t="s">
        <v>100</v>
      </c>
      <c r="W109" s="4">
        <f>AS88</f>
        <v>0</v>
      </c>
      <c r="X109" s="10" t="s">
        <v>102</v>
      </c>
    </row>
    <row r="110" spans="5:24">
      <c r="F110" s="4" t="s">
        <v>100</v>
      </c>
      <c r="G110" s="4" t="s">
        <v>121</v>
      </c>
      <c r="H110" s="4" t="s">
        <v>100</v>
      </c>
      <c r="I110" s="4">
        <f>E89</f>
        <v>0</v>
      </c>
      <c r="J110" s="4" t="s">
        <v>100</v>
      </c>
      <c r="K110" s="4">
        <f>I89</f>
        <v>0</v>
      </c>
      <c r="L110" s="4" t="s">
        <v>100</v>
      </c>
      <c r="M110" s="4">
        <f>Q89</f>
        <v>0</v>
      </c>
      <c r="N110" s="4" t="s">
        <v>100</v>
      </c>
      <c r="O110" s="4">
        <f>U89</f>
        <v>0</v>
      </c>
      <c r="P110" s="4" t="s">
        <v>100</v>
      </c>
      <c r="Q110" s="4">
        <f>AC89</f>
        <v>0</v>
      </c>
      <c r="R110" s="4" t="s">
        <v>100</v>
      </c>
      <c r="S110" s="4">
        <f>AG89</f>
        <v>0</v>
      </c>
      <c r="T110" s="4" t="s">
        <v>100</v>
      </c>
      <c r="U110" s="4">
        <f>AO89</f>
        <v>0</v>
      </c>
      <c r="V110" s="4" t="s">
        <v>100</v>
      </c>
      <c r="W110" s="4">
        <f>AS89</f>
        <v>0</v>
      </c>
      <c r="X110" s="10" t="s">
        <v>102</v>
      </c>
    </row>
    <row r="111" spans="5:24">
      <c r="F111" s="4" t="s">
        <v>100</v>
      </c>
      <c r="G111" s="4" t="s">
        <v>126</v>
      </c>
      <c r="H111" s="4" t="s">
        <v>100</v>
      </c>
      <c r="I111" s="4">
        <v>0.50072323097008398</v>
      </c>
      <c r="J111" s="4" t="s">
        <v>100</v>
      </c>
      <c r="K111" s="4">
        <v>3.2191198918288699</v>
      </c>
      <c r="L111" s="4" t="s">
        <v>100</v>
      </c>
      <c r="M111" s="4">
        <v>98.206842238171305</v>
      </c>
      <c r="N111" s="4" t="s">
        <v>100</v>
      </c>
      <c r="O111" s="4">
        <v>107.84260719690801</v>
      </c>
      <c r="P111" s="4" t="s">
        <v>100</v>
      </c>
      <c r="Q111" s="4">
        <v>1.70011920903793</v>
      </c>
      <c r="R111" s="4" t="s">
        <v>100</v>
      </c>
      <c r="S111" s="4">
        <v>7.5967766836195798</v>
      </c>
      <c r="T111" s="4" t="s">
        <v>100</v>
      </c>
      <c r="U111" s="4">
        <v>2.0663869970749098</v>
      </c>
      <c r="V111" s="4" t="s">
        <v>100</v>
      </c>
      <c r="W111" s="4">
        <v>8.9073752791121805</v>
      </c>
      <c r="X111" s="10" t="s">
        <v>102</v>
      </c>
    </row>
  </sheetData>
  <phoneticPr fontId="6" type="noConversion"/>
  <hyperlinks>
    <hyperlink ref="AY1" r:id="rId1" xr:uid="{5C7B595E-5995-41DF-B5B6-C35D1092460E}"/>
    <hyperlink ref="AY2:AY74" r:id="rId2" display="\\" xr:uid="{91E8780B-7EAC-427F-AC49-5553FECE9536}"/>
    <hyperlink ref="AY75:AY77" r:id="rId3" display="\\" xr:uid="{1BE6F356-73D0-4E61-89AB-3543CFEF550D}"/>
    <hyperlink ref="AY79:AY81" r:id="rId4" display="\\" xr:uid="{D4C1B2C0-D526-4B33-B7EF-F126CE652C92}"/>
    <hyperlink ref="AY83:AY85" r:id="rId5" display="\\" xr:uid="{A24F0B22-ADC4-4E83-9C14-E45569589302}"/>
    <hyperlink ref="AY87:AY89" r:id="rId6" display="\\" xr:uid="{1A2462AF-0102-41FF-8DF5-2844752E3B30}"/>
    <hyperlink ref="X97" r:id="rId7" xr:uid="{E7C18BAC-86FA-4E15-B327-C39A8EE6E8BE}"/>
    <hyperlink ref="X111" r:id="rId8" xr:uid="{F51196AF-61D6-4C4D-889C-4D26F5DAFB52}"/>
    <hyperlink ref="X101" r:id="rId9" xr:uid="{FF95D0C7-57CC-49A0-812A-97311CCFC9C1}"/>
    <hyperlink ref="X106" r:id="rId10" xr:uid="{BD5BFDBC-EC1C-4F28-BE77-AF19A326FBE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74"/>
  <sheetViews>
    <sheetView zoomScale="85" zoomScaleNormal="85" workbookViewId="0">
      <selection activeCell="N57" sqref="N57"/>
    </sheetView>
  </sheetViews>
  <sheetFormatPr defaultColWidth="8.7265625" defaultRowHeight="14"/>
  <cols>
    <col min="8" max="8" width="12.81640625"/>
    <col min="9" max="12" width="14"/>
  </cols>
  <sheetData>
    <row r="1" spans="1:33" ht="15.5">
      <c r="N1" s="2"/>
      <c r="O1" s="2" t="s">
        <v>127</v>
      </c>
      <c r="P1" s="2"/>
      <c r="Q1" s="2"/>
      <c r="R1" s="2"/>
      <c r="S1" s="2"/>
      <c r="T1" s="2"/>
      <c r="U1" s="2"/>
      <c r="V1" s="2" t="s">
        <v>128</v>
      </c>
      <c r="W1" s="2"/>
      <c r="X1" s="2"/>
      <c r="Y1" s="2"/>
      <c r="Z1" s="2"/>
      <c r="AA1" s="2"/>
      <c r="AB1" s="2"/>
      <c r="AC1" s="2" t="s">
        <v>129</v>
      </c>
      <c r="AD1" s="2"/>
      <c r="AE1" s="2"/>
      <c r="AF1" s="2"/>
      <c r="AG1" s="2"/>
    </row>
    <row r="2" spans="1:33" ht="15.5">
      <c r="A2" t="s">
        <v>6</v>
      </c>
      <c r="B2">
        <v>1</v>
      </c>
      <c r="C2">
        <v>0.99</v>
      </c>
      <c r="D2">
        <v>0.95</v>
      </c>
      <c r="E2">
        <v>0.9</v>
      </c>
      <c r="F2">
        <v>0.8</v>
      </c>
      <c r="H2" s="1">
        <v>1</v>
      </c>
      <c r="I2">
        <v>0.99</v>
      </c>
      <c r="J2">
        <v>0.95</v>
      </c>
      <c r="K2">
        <v>0.9</v>
      </c>
      <c r="L2">
        <v>0.8</v>
      </c>
      <c r="N2" s="2"/>
      <c r="O2" s="2">
        <v>100</v>
      </c>
      <c r="P2" s="2">
        <v>99</v>
      </c>
      <c r="Q2" s="2">
        <v>95</v>
      </c>
      <c r="R2" s="2">
        <v>90</v>
      </c>
      <c r="S2" s="2">
        <v>80</v>
      </c>
      <c r="T2" s="2"/>
      <c r="U2" s="2"/>
      <c r="V2" s="2">
        <v>100</v>
      </c>
      <c r="W2" s="2">
        <v>99</v>
      </c>
      <c r="X2" s="2">
        <v>95</v>
      </c>
      <c r="Y2" s="2">
        <v>90</v>
      </c>
      <c r="Z2" s="2">
        <v>80</v>
      </c>
      <c r="AA2" s="2"/>
      <c r="AB2" s="2"/>
      <c r="AC2" s="2">
        <v>100</v>
      </c>
      <c r="AD2" s="2">
        <v>99</v>
      </c>
      <c r="AE2" s="2">
        <v>95</v>
      </c>
      <c r="AF2" s="2">
        <v>90</v>
      </c>
      <c r="AG2" s="2">
        <v>80</v>
      </c>
    </row>
    <row r="3" spans="1:33" ht="15.5">
      <c r="A3">
        <v>5443.3</v>
      </c>
      <c r="B3">
        <v>6636</v>
      </c>
      <c r="C3">
        <v>5536</v>
      </c>
      <c r="D3">
        <v>5536</v>
      </c>
      <c r="E3">
        <v>5536</v>
      </c>
      <c r="F3">
        <v>5536</v>
      </c>
      <c r="G3">
        <v>1</v>
      </c>
      <c r="H3">
        <f>(B3-$A3)/$A3*100</f>
        <v>21.911340547094589</v>
      </c>
      <c r="I3">
        <f>(C3-$A3)/$A3*100</f>
        <v>1.7030110410963903</v>
      </c>
      <c r="J3">
        <f>(D3-$A3)/$A3*100</f>
        <v>1.7030110410963903</v>
      </c>
      <c r="K3">
        <f>(E3-$A3)/$A3*100</f>
        <v>1.7030110410963903</v>
      </c>
      <c r="L3">
        <f>(F3-$A3)/$A3*100</f>
        <v>1.7030110410963903</v>
      </c>
      <c r="N3" s="2">
        <v>10</v>
      </c>
      <c r="O3" s="2">
        <f>COUNTIF($H$3:$H$26,"&lt;"&amp;N3)</f>
        <v>22</v>
      </c>
      <c r="P3" s="2">
        <f>COUNTIF($I$3:$I$26,"&lt;"&amp;N3)</f>
        <v>23</v>
      </c>
      <c r="Q3" s="2">
        <f>COUNTIF($J$3:$J$26,"&lt;"&amp;N3)</f>
        <v>23</v>
      </c>
      <c r="R3" s="2">
        <f>COUNTIF($K$3:$K$26,"&lt;"&amp;N3)</f>
        <v>24</v>
      </c>
      <c r="S3" s="2">
        <f>COUNTIF($L$3:$L$26,"&lt;"&amp;N3)</f>
        <v>24</v>
      </c>
      <c r="T3" s="2"/>
      <c r="U3" s="2">
        <v>10</v>
      </c>
      <c r="V3" s="2">
        <f>COUNTIF($H$27:$H$50,"&lt;"&amp;U3)</f>
        <v>22</v>
      </c>
      <c r="W3" s="2">
        <f>COUNTIF($I$27:$I$50,"&lt;"&amp;U3)</f>
        <v>24</v>
      </c>
      <c r="X3" s="2">
        <f>COUNTIF($J$27:$J$50,"&lt;"&amp;U3)</f>
        <v>24</v>
      </c>
      <c r="Y3" s="2">
        <f>COUNTIF($K$27:$K$50,"&lt;"&amp;U3)</f>
        <v>24</v>
      </c>
      <c r="Z3" s="2">
        <f>COUNTIF($L$27:$L$50,"&lt;"&amp;U3)</f>
        <v>24</v>
      </c>
      <c r="AA3" s="2"/>
      <c r="AB3" s="2">
        <v>10</v>
      </c>
      <c r="AC3" s="2">
        <f>COUNTIF($H$51:$H$74,"&lt;"&amp;AB3)</f>
        <v>8</v>
      </c>
      <c r="AD3" s="2">
        <f>COUNTIF($I$51:$I$74,"&lt;"&amp;AB3)</f>
        <v>12</v>
      </c>
      <c r="AE3" s="2">
        <f>COUNTIF($J$51:$J$74,"&lt;"&amp;AB3)</f>
        <v>15</v>
      </c>
      <c r="AF3" s="2">
        <f>COUNTIF($K$51:$K$74,"&lt;"&amp;AB3)</f>
        <v>18</v>
      </c>
      <c r="AG3" s="2">
        <f>COUNTIF($L$51:$L$74,"&lt;"&amp;AB3)</f>
        <v>22</v>
      </c>
    </row>
    <row r="4" spans="1:33" ht="15.5">
      <c r="A4">
        <v>7528.4</v>
      </c>
      <c r="B4">
        <v>10082</v>
      </c>
      <c r="C4">
        <v>8954</v>
      </c>
      <c r="D4">
        <v>8716</v>
      </c>
      <c r="E4">
        <v>7574</v>
      </c>
      <c r="F4">
        <v>7574</v>
      </c>
      <c r="G4">
        <v>2</v>
      </c>
      <c r="H4">
        <f t="shared" ref="H4:H35" si="0">(B4-$A4)/$A4*100</f>
        <v>33.919557940598274</v>
      </c>
      <c r="I4">
        <f>(C4-$A4)/$A4*100</f>
        <v>18.93629456458212</v>
      </c>
      <c r="J4">
        <f t="shared" ref="J4:J35" si="1">(D4-$A4)/$A4*100</f>
        <v>15.774932256521975</v>
      </c>
      <c r="K4">
        <f t="shared" ref="K4:K35" si="2">(E4-$A4)/$A4*100</f>
        <v>0.60570639179640251</v>
      </c>
      <c r="L4">
        <f t="shared" ref="L4:L35" si="3">(F4-$A4)/$A4*100</f>
        <v>0.60570639179640251</v>
      </c>
      <c r="N4" s="2">
        <v>9</v>
      </c>
      <c r="O4" s="2">
        <f t="shared" ref="O4:O12" si="4">COUNTIF($H$3:$H$26,"&lt;"&amp;N4)</f>
        <v>22</v>
      </c>
      <c r="P4" s="2">
        <f t="shared" ref="P4:P12" si="5">COUNTIF($I$3:$I$26,"&lt;"&amp;N4)</f>
        <v>23</v>
      </c>
      <c r="Q4" s="2">
        <f t="shared" ref="Q4:Q12" si="6">COUNTIF($J$3:$J$26,"&lt;"&amp;N4)</f>
        <v>23</v>
      </c>
      <c r="R4" s="2">
        <f t="shared" ref="R4:R12" si="7">COUNTIF($K$3:$K$26,"&lt;"&amp;N4)</f>
        <v>24</v>
      </c>
      <c r="S4" s="2">
        <f t="shared" ref="S4:S12" si="8">COUNTIF($L$3:$L$26,"&lt;"&amp;N4)</f>
        <v>24</v>
      </c>
      <c r="T4" s="2"/>
      <c r="U4" s="2">
        <v>9</v>
      </c>
      <c r="V4" s="2">
        <f t="shared" ref="V4:V12" si="9">COUNTIF($H$27:$H$50,"&lt;"&amp;U4)</f>
        <v>22</v>
      </c>
      <c r="W4" s="2">
        <f t="shared" ref="W4:W12" si="10">COUNTIF($I$27:$I$50,"&lt;"&amp;U4)</f>
        <v>23</v>
      </c>
      <c r="X4" s="2">
        <f t="shared" ref="X4:X12" si="11">COUNTIF($J$27:$J$50,"&lt;"&amp;U4)</f>
        <v>24</v>
      </c>
      <c r="Y4" s="2">
        <f t="shared" ref="Y4:Y12" si="12">COUNTIF($K$27:$K$50,"&lt;"&amp;U4)</f>
        <v>24</v>
      </c>
      <c r="Z4" s="2">
        <f t="shared" ref="Z4:Z12" si="13">COUNTIF($L$27:$L$50,"&lt;"&amp;U4)</f>
        <v>24</v>
      </c>
      <c r="AA4" s="2"/>
      <c r="AB4" s="2">
        <v>9</v>
      </c>
      <c r="AC4" s="2">
        <f t="shared" ref="AC4:AC12" si="14">COUNTIF($H$51:$H$74,"&lt;"&amp;AB4)</f>
        <v>7</v>
      </c>
      <c r="AD4" s="2">
        <f t="shared" ref="AD4:AD12" si="15">COUNTIF($I$51:$I$74,"&lt;"&amp;AB4)</f>
        <v>12</v>
      </c>
      <c r="AE4" s="2">
        <f t="shared" ref="AE4:AE12" si="16">COUNTIF($J$51:$J$74,"&lt;"&amp;AB4)</f>
        <v>14</v>
      </c>
      <c r="AF4" s="2">
        <f t="shared" ref="AF4:AF12" si="17">COUNTIF($K$51:$K$74,"&lt;"&amp;AB4)</f>
        <v>17</v>
      </c>
      <c r="AG4" s="2">
        <f t="shared" ref="AG4:AG12" si="18">COUNTIF($L$51:$L$74,"&lt;"&amp;AB4)</f>
        <v>22</v>
      </c>
    </row>
    <row r="5" spans="1:33" ht="15.5">
      <c r="A5">
        <v>10019</v>
      </c>
      <c r="B5">
        <v>10019</v>
      </c>
      <c r="C5">
        <v>10019</v>
      </c>
      <c r="D5">
        <v>10019</v>
      </c>
      <c r="E5">
        <v>10019</v>
      </c>
      <c r="F5">
        <v>10019</v>
      </c>
      <c r="G5">
        <v>3</v>
      </c>
      <c r="H5">
        <f t="shared" si="0"/>
        <v>0</v>
      </c>
      <c r="I5">
        <f t="shared" ref="I5:I35" si="19">(C5-$A5)/$A5*100</f>
        <v>0</v>
      </c>
      <c r="J5">
        <f t="shared" si="1"/>
        <v>0</v>
      </c>
      <c r="K5">
        <f t="shared" si="2"/>
        <v>0</v>
      </c>
      <c r="L5">
        <f t="shared" si="3"/>
        <v>0</v>
      </c>
      <c r="N5" s="2">
        <v>8</v>
      </c>
      <c r="O5" s="2">
        <f t="shared" si="4"/>
        <v>21</v>
      </c>
      <c r="P5" s="2">
        <f t="shared" si="5"/>
        <v>23</v>
      </c>
      <c r="Q5" s="2">
        <f t="shared" si="6"/>
        <v>23</v>
      </c>
      <c r="R5" s="2">
        <f t="shared" si="7"/>
        <v>24</v>
      </c>
      <c r="S5" s="2">
        <f t="shared" si="8"/>
        <v>24</v>
      </c>
      <c r="T5" s="2"/>
      <c r="U5" s="2">
        <v>8</v>
      </c>
      <c r="V5" s="2">
        <f t="shared" si="9"/>
        <v>21</v>
      </c>
      <c r="W5" s="2">
        <f t="shared" si="10"/>
        <v>23</v>
      </c>
      <c r="X5" s="2">
        <f t="shared" si="11"/>
        <v>24</v>
      </c>
      <c r="Y5" s="2">
        <f t="shared" si="12"/>
        <v>24</v>
      </c>
      <c r="Z5" s="2">
        <f t="shared" si="13"/>
        <v>24</v>
      </c>
      <c r="AA5" s="2"/>
      <c r="AB5" s="2">
        <v>8</v>
      </c>
      <c r="AC5" s="2">
        <f t="shared" si="14"/>
        <v>7</v>
      </c>
      <c r="AD5" s="2">
        <f t="shared" si="15"/>
        <v>12</v>
      </c>
      <c r="AE5" s="2">
        <f t="shared" si="16"/>
        <v>14</v>
      </c>
      <c r="AF5" s="2">
        <f t="shared" si="17"/>
        <v>15</v>
      </c>
      <c r="AG5" s="2">
        <f t="shared" si="18"/>
        <v>21</v>
      </c>
    </row>
    <row r="6" spans="1:33" ht="15.5">
      <c r="A6">
        <v>13227.1</v>
      </c>
      <c r="B6">
        <v>13689</v>
      </c>
      <c r="C6">
        <v>13225</v>
      </c>
      <c r="D6">
        <v>13225</v>
      </c>
      <c r="E6">
        <v>13225</v>
      </c>
      <c r="F6">
        <v>13225</v>
      </c>
      <c r="G6">
        <v>4</v>
      </c>
      <c r="H6">
        <f t="shared" si="0"/>
        <v>3.4920730923634027</v>
      </c>
      <c r="I6">
        <f t="shared" si="19"/>
        <v>-1.587649598173722E-2</v>
      </c>
      <c r="J6">
        <f t="shared" si="1"/>
        <v>-1.587649598173722E-2</v>
      </c>
      <c r="K6">
        <f t="shared" si="2"/>
        <v>-1.587649598173722E-2</v>
      </c>
      <c r="L6">
        <f t="shared" si="3"/>
        <v>-1.587649598173722E-2</v>
      </c>
      <c r="N6" s="2">
        <v>7</v>
      </c>
      <c r="O6" s="2">
        <f t="shared" si="4"/>
        <v>21</v>
      </c>
      <c r="P6" s="2">
        <f t="shared" si="5"/>
        <v>23</v>
      </c>
      <c r="Q6" s="2">
        <f t="shared" si="6"/>
        <v>23</v>
      </c>
      <c r="R6" s="2">
        <f t="shared" si="7"/>
        <v>24</v>
      </c>
      <c r="S6" s="2">
        <f t="shared" si="8"/>
        <v>24</v>
      </c>
      <c r="T6" s="2"/>
      <c r="U6" s="2">
        <v>7</v>
      </c>
      <c r="V6" s="2">
        <f t="shared" si="9"/>
        <v>20</v>
      </c>
      <c r="W6" s="2">
        <f t="shared" si="10"/>
        <v>23</v>
      </c>
      <c r="X6" s="2">
        <f t="shared" si="11"/>
        <v>24</v>
      </c>
      <c r="Y6" s="2">
        <f t="shared" si="12"/>
        <v>24</v>
      </c>
      <c r="Z6" s="2">
        <f t="shared" si="13"/>
        <v>24</v>
      </c>
      <c r="AA6" s="2"/>
      <c r="AB6" s="2">
        <v>7</v>
      </c>
      <c r="AC6" s="2">
        <f t="shared" si="14"/>
        <v>6</v>
      </c>
      <c r="AD6" s="2">
        <f t="shared" si="15"/>
        <v>10</v>
      </c>
      <c r="AE6" s="2">
        <f t="shared" si="16"/>
        <v>12</v>
      </c>
      <c r="AF6" s="2">
        <f t="shared" si="17"/>
        <v>15</v>
      </c>
      <c r="AG6" s="2">
        <f t="shared" si="18"/>
        <v>21</v>
      </c>
    </row>
    <row r="7" spans="1:33" ht="15.5">
      <c r="A7">
        <v>17695</v>
      </c>
      <c r="B7">
        <v>17695</v>
      </c>
      <c r="C7">
        <v>17695</v>
      </c>
      <c r="D7">
        <v>17695</v>
      </c>
      <c r="E7">
        <v>17695</v>
      </c>
      <c r="F7">
        <v>17695</v>
      </c>
      <c r="G7">
        <v>5</v>
      </c>
      <c r="H7">
        <f t="shared" si="0"/>
        <v>0</v>
      </c>
      <c r="I7">
        <f t="shared" si="19"/>
        <v>0</v>
      </c>
      <c r="J7">
        <f t="shared" si="1"/>
        <v>0</v>
      </c>
      <c r="K7">
        <f t="shared" si="2"/>
        <v>0</v>
      </c>
      <c r="L7">
        <f t="shared" si="3"/>
        <v>0</v>
      </c>
      <c r="N7" s="2">
        <v>6</v>
      </c>
      <c r="O7" s="2">
        <f t="shared" si="4"/>
        <v>21</v>
      </c>
      <c r="P7" s="2">
        <f t="shared" si="5"/>
        <v>23</v>
      </c>
      <c r="Q7" s="2">
        <f t="shared" si="6"/>
        <v>23</v>
      </c>
      <c r="R7" s="2">
        <f t="shared" si="7"/>
        <v>24</v>
      </c>
      <c r="S7" s="2">
        <f t="shared" si="8"/>
        <v>24</v>
      </c>
      <c r="T7" s="2"/>
      <c r="U7" s="2">
        <v>6</v>
      </c>
      <c r="V7" s="2">
        <f t="shared" si="9"/>
        <v>20</v>
      </c>
      <c r="W7" s="2">
        <f t="shared" si="10"/>
        <v>21</v>
      </c>
      <c r="X7" s="2">
        <f t="shared" si="11"/>
        <v>22</v>
      </c>
      <c r="Y7" s="2">
        <f t="shared" si="12"/>
        <v>24</v>
      </c>
      <c r="Z7" s="2">
        <f t="shared" si="13"/>
        <v>24</v>
      </c>
      <c r="AA7" s="2"/>
      <c r="AB7" s="2">
        <v>6</v>
      </c>
      <c r="AC7" s="2">
        <f t="shared" si="14"/>
        <v>5</v>
      </c>
      <c r="AD7" s="2">
        <f t="shared" si="15"/>
        <v>10</v>
      </c>
      <c r="AE7" s="2">
        <f t="shared" si="16"/>
        <v>12</v>
      </c>
      <c r="AF7" s="2">
        <f t="shared" si="17"/>
        <v>13</v>
      </c>
      <c r="AG7" s="2">
        <f t="shared" si="18"/>
        <v>19</v>
      </c>
    </row>
    <row r="8" spans="1:33" ht="15.5">
      <c r="A8">
        <v>17794.8</v>
      </c>
      <c r="B8">
        <v>19356</v>
      </c>
      <c r="C8">
        <v>18657</v>
      </c>
      <c r="D8">
        <v>18657</v>
      </c>
      <c r="E8">
        <v>18657</v>
      </c>
      <c r="F8">
        <v>18036</v>
      </c>
      <c r="G8">
        <v>6</v>
      </c>
      <c r="H8">
        <f t="shared" si="0"/>
        <v>8.7733495178366763</v>
      </c>
      <c r="I8">
        <f t="shared" si="19"/>
        <v>4.8452356868298647</v>
      </c>
      <c r="J8">
        <f t="shared" si="1"/>
        <v>4.8452356868298647</v>
      </c>
      <c r="K8">
        <f t="shared" si="2"/>
        <v>4.8452356868298647</v>
      </c>
      <c r="L8">
        <f t="shared" si="3"/>
        <v>1.3554521545620111</v>
      </c>
      <c r="N8" s="2">
        <v>5</v>
      </c>
      <c r="O8" s="2">
        <f t="shared" si="4"/>
        <v>19</v>
      </c>
      <c r="P8" s="2">
        <f t="shared" si="5"/>
        <v>23</v>
      </c>
      <c r="Q8" s="2">
        <f t="shared" si="6"/>
        <v>23</v>
      </c>
      <c r="R8" s="2">
        <f t="shared" si="7"/>
        <v>24</v>
      </c>
      <c r="S8" s="2">
        <f t="shared" si="8"/>
        <v>24</v>
      </c>
      <c r="T8" s="2"/>
      <c r="U8" s="2">
        <v>5</v>
      </c>
      <c r="V8" s="2">
        <f t="shared" si="9"/>
        <v>18</v>
      </c>
      <c r="W8" s="2">
        <f t="shared" si="10"/>
        <v>21</v>
      </c>
      <c r="X8" s="2">
        <f t="shared" si="11"/>
        <v>21</v>
      </c>
      <c r="Y8" s="2">
        <f t="shared" si="12"/>
        <v>22</v>
      </c>
      <c r="Z8" s="2">
        <f t="shared" si="13"/>
        <v>23</v>
      </c>
      <c r="AA8" s="2"/>
      <c r="AB8" s="2">
        <v>5</v>
      </c>
      <c r="AC8" s="2">
        <f t="shared" si="14"/>
        <v>4</v>
      </c>
      <c r="AD8" s="2">
        <f t="shared" si="15"/>
        <v>10</v>
      </c>
      <c r="AE8" s="2">
        <f t="shared" si="16"/>
        <v>10</v>
      </c>
      <c r="AF8" s="2">
        <f t="shared" si="17"/>
        <v>12</v>
      </c>
      <c r="AG8" s="2">
        <f t="shared" si="18"/>
        <v>16</v>
      </c>
    </row>
    <row r="9" spans="1:33" ht="15.5">
      <c r="A9">
        <v>70465.899999999994</v>
      </c>
      <c r="B9">
        <v>70783</v>
      </c>
      <c r="C9">
        <v>70783</v>
      </c>
      <c r="D9">
        <v>70783</v>
      </c>
      <c r="E9">
        <v>70783</v>
      </c>
      <c r="F9">
        <v>70399</v>
      </c>
      <c r="G9">
        <v>7</v>
      </c>
      <c r="H9">
        <f t="shared" si="0"/>
        <v>0.45000489598515858</v>
      </c>
      <c r="I9">
        <f t="shared" si="19"/>
        <v>0.45000489598515858</v>
      </c>
      <c r="J9">
        <f t="shared" si="1"/>
        <v>0.45000489598515858</v>
      </c>
      <c r="K9">
        <f t="shared" si="2"/>
        <v>0.45000489598515858</v>
      </c>
      <c r="L9">
        <f t="shared" si="3"/>
        <v>-9.4939538131201318E-2</v>
      </c>
      <c r="N9" s="2">
        <v>4</v>
      </c>
      <c r="O9" s="2">
        <f t="shared" si="4"/>
        <v>15</v>
      </c>
      <c r="P9" s="2">
        <f t="shared" si="5"/>
        <v>22</v>
      </c>
      <c r="Q9" s="2">
        <f t="shared" si="6"/>
        <v>22</v>
      </c>
      <c r="R9" s="2">
        <f t="shared" si="7"/>
        <v>23</v>
      </c>
      <c r="S9" s="2">
        <f t="shared" si="8"/>
        <v>24</v>
      </c>
      <c r="T9" s="2"/>
      <c r="U9" s="2">
        <v>4</v>
      </c>
      <c r="V9" s="2">
        <f t="shared" si="9"/>
        <v>16</v>
      </c>
      <c r="W9" s="2">
        <f t="shared" si="10"/>
        <v>20</v>
      </c>
      <c r="X9" s="2">
        <f t="shared" si="11"/>
        <v>21</v>
      </c>
      <c r="Y9" s="2">
        <f t="shared" si="12"/>
        <v>22</v>
      </c>
      <c r="Z9" s="2">
        <f t="shared" si="13"/>
        <v>23</v>
      </c>
      <c r="AA9" s="2"/>
      <c r="AB9" s="2">
        <v>4</v>
      </c>
      <c r="AC9" s="2">
        <f t="shared" si="14"/>
        <v>4</v>
      </c>
      <c r="AD9" s="2">
        <f t="shared" si="15"/>
        <v>8</v>
      </c>
      <c r="AE9" s="2">
        <f t="shared" si="16"/>
        <v>10</v>
      </c>
      <c r="AF9" s="2">
        <f t="shared" si="17"/>
        <v>11</v>
      </c>
      <c r="AG9" s="2">
        <f t="shared" si="18"/>
        <v>15</v>
      </c>
    </row>
    <row r="10" spans="1:33" ht="15.5">
      <c r="A10">
        <v>35227.199999999997</v>
      </c>
      <c r="B10">
        <v>37136</v>
      </c>
      <c r="C10">
        <v>36361</v>
      </c>
      <c r="D10">
        <v>36361</v>
      </c>
      <c r="E10">
        <v>36361</v>
      </c>
      <c r="F10">
        <v>35545</v>
      </c>
      <c r="G10">
        <v>8</v>
      </c>
      <c r="H10">
        <f t="shared" si="0"/>
        <v>5.4185402189217511</v>
      </c>
      <c r="I10">
        <f t="shared" si="19"/>
        <v>3.2185356769768898</v>
      </c>
      <c r="J10">
        <f t="shared" si="1"/>
        <v>3.2185356769768898</v>
      </c>
      <c r="K10">
        <f t="shared" si="2"/>
        <v>3.2185356769768898</v>
      </c>
      <c r="L10">
        <f t="shared" si="3"/>
        <v>0.90214379797430089</v>
      </c>
      <c r="N10" s="2">
        <v>3</v>
      </c>
      <c r="O10" s="2">
        <f t="shared" si="4"/>
        <v>10</v>
      </c>
      <c r="P10" s="2">
        <f t="shared" si="5"/>
        <v>20</v>
      </c>
      <c r="Q10" s="2">
        <f t="shared" si="6"/>
        <v>21</v>
      </c>
      <c r="R10" s="2">
        <f t="shared" si="7"/>
        <v>22</v>
      </c>
      <c r="S10" s="2">
        <f t="shared" si="8"/>
        <v>24</v>
      </c>
      <c r="T10" s="2"/>
      <c r="U10" s="2">
        <v>3</v>
      </c>
      <c r="V10" s="2">
        <f t="shared" si="9"/>
        <v>14</v>
      </c>
      <c r="W10" s="2">
        <f t="shared" si="10"/>
        <v>18</v>
      </c>
      <c r="X10" s="2">
        <f t="shared" si="11"/>
        <v>20</v>
      </c>
      <c r="Y10" s="2">
        <f t="shared" si="12"/>
        <v>21</v>
      </c>
      <c r="Z10" s="2">
        <f t="shared" si="13"/>
        <v>22</v>
      </c>
      <c r="AA10" s="2"/>
      <c r="AB10" s="2">
        <v>3</v>
      </c>
      <c r="AC10" s="2">
        <f t="shared" si="14"/>
        <v>1</v>
      </c>
      <c r="AD10" s="2">
        <f t="shared" si="15"/>
        <v>6</v>
      </c>
      <c r="AE10" s="2">
        <f t="shared" si="16"/>
        <v>8</v>
      </c>
      <c r="AF10" s="2">
        <f t="shared" si="17"/>
        <v>10</v>
      </c>
      <c r="AG10" s="2">
        <f t="shared" si="18"/>
        <v>13</v>
      </c>
    </row>
    <row r="11" spans="1:33" ht="15.5">
      <c r="A11">
        <v>65050.5</v>
      </c>
      <c r="B11">
        <v>67102</v>
      </c>
      <c r="C11">
        <v>66238</v>
      </c>
      <c r="D11">
        <v>66213</v>
      </c>
      <c r="E11">
        <v>65421</v>
      </c>
      <c r="F11">
        <v>65353</v>
      </c>
      <c r="G11">
        <v>9</v>
      </c>
      <c r="H11">
        <f t="shared" si="0"/>
        <v>3.1537036610018374</v>
      </c>
      <c r="I11">
        <f t="shared" si="19"/>
        <v>1.8255048001168321</v>
      </c>
      <c r="J11">
        <f t="shared" si="1"/>
        <v>1.7870731201143728</v>
      </c>
      <c r="K11">
        <f t="shared" si="2"/>
        <v>0.56955749763645169</v>
      </c>
      <c r="L11">
        <f t="shared" si="3"/>
        <v>0.46502332802976154</v>
      </c>
      <c r="N11" s="2">
        <v>2</v>
      </c>
      <c r="O11" s="2">
        <f t="shared" si="4"/>
        <v>7</v>
      </c>
      <c r="P11" s="2">
        <f t="shared" si="5"/>
        <v>15</v>
      </c>
      <c r="Q11" s="2">
        <f t="shared" si="6"/>
        <v>19</v>
      </c>
      <c r="R11" s="2">
        <f t="shared" si="7"/>
        <v>22</v>
      </c>
      <c r="S11" s="2">
        <f t="shared" si="8"/>
        <v>24</v>
      </c>
      <c r="T11" s="2"/>
      <c r="U11" s="2">
        <v>2</v>
      </c>
      <c r="V11" s="2">
        <f t="shared" si="9"/>
        <v>9</v>
      </c>
      <c r="W11" s="2">
        <f t="shared" si="10"/>
        <v>14</v>
      </c>
      <c r="X11" s="2">
        <f t="shared" si="11"/>
        <v>19</v>
      </c>
      <c r="Y11" s="2">
        <f t="shared" si="12"/>
        <v>20</v>
      </c>
      <c r="Z11" s="2">
        <f t="shared" si="13"/>
        <v>21</v>
      </c>
      <c r="AA11" s="2"/>
      <c r="AB11" s="2">
        <v>2</v>
      </c>
      <c r="AC11" s="2">
        <f t="shared" si="14"/>
        <v>0</v>
      </c>
      <c r="AD11" s="2">
        <f t="shared" si="15"/>
        <v>4</v>
      </c>
      <c r="AE11" s="2">
        <f t="shared" si="16"/>
        <v>6</v>
      </c>
      <c r="AF11" s="2">
        <f t="shared" si="17"/>
        <v>8</v>
      </c>
      <c r="AG11" s="2">
        <f t="shared" si="18"/>
        <v>11</v>
      </c>
    </row>
    <row r="12" spans="1:33" ht="15.5">
      <c r="A12">
        <v>63297</v>
      </c>
      <c r="B12">
        <v>65913</v>
      </c>
      <c r="C12">
        <v>64792</v>
      </c>
      <c r="D12">
        <v>64519</v>
      </c>
      <c r="E12">
        <v>64026</v>
      </c>
      <c r="F12">
        <v>63849</v>
      </c>
      <c r="G12">
        <v>10</v>
      </c>
      <c r="H12">
        <f t="shared" si="0"/>
        <v>4.1328972937106023</v>
      </c>
      <c r="I12">
        <f t="shared" si="19"/>
        <v>2.3618812897925654</v>
      </c>
      <c r="J12">
        <f t="shared" si="1"/>
        <v>1.9305812281782706</v>
      </c>
      <c r="K12">
        <f t="shared" si="2"/>
        <v>1.1517133513436657</v>
      </c>
      <c r="L12">
        <f t="shared" si="3"/>
        <v>0.87207924546187021</v>
      </c>
      <c r="N12" s="2">
        <v>1</v>
      </c>
      <c r="O12" s="2">
        <f t="shared" si="4"/>
        <v>3</v>
      </c>
      <c r="P12" s="2">
        <f t="shared" si="5"/>
        <v>7</v>
      </c>
      <c r="Q12" s="2">
        <f t="shared" si="6"/>
        <v>9</v>
      </c>
      <c r="R12" s="2">
        <f t="shared" si="7"/>
        <v>16</v>
      </c>
      <c r="S12" s="2">
        <f t="shared" si="8"/>
        <v>21</v>
      </c>
      <c r="T12" s="2"/>
      <c r="U12" s="2">
        <v>1</v>
      </c>
      <c r="V12" s="2">
        <f t="shared" si="9"/>
        <v>3</v>
      </c>
      <c r="W12" s="2">
        <f t="shared" si="10"/>
        <v>8</v>
      </c>
      <c r="X12" s="2">
        <f t="shared" si="11"/>
        <v>11</v>
      </c>
      <c r="Y12" s="2">
        <f t="shared" si="12"/>
        <v>14</v>
      </c>
      <c r="Z12" s="2">
        <f t="shared" si="13"/>
        <v>20</v>
      </c>
      <c r="AA12" s="2"/>
      <c r="AB12" s="2">
        <v>1</v>
      </c>
      <c r="AC12" s="2">
        <f t="shared" si="14"/>
        <v>0</v>
      </c>
      <c r="AD12" s="2">
        <f t="shared" si="15"/>
        <v>2</v>
      </c>
      <c r="AE12" s="2">
        <f t="shared" si="16"/>
        <v>2</v>
      </c>
      <c r="AF12" s="2">
        <f t="shared" si="17"/>
        <v>4</v>
      </c>
      <c r="AG12" s="2">
        <f t="shared" si="18"/>
        <v>7</v>
      </c>
    </row>
    <row r="13" spans="1:33">
      <c r="A13">
        <v>53200.2</v>
      </c>
      <c r="B13">
        <v>54959</v>
      </c>
      <c r="C13">
        <v>54463</v>
      </c>
      <c r="D13">
        <v>54295</v>
      </c>
      <c r="E13">
        <v>53895</v>
      </c>
      <c r="F13">
        <v>53473</v>
      </c>
      <c r="G13">
        <v>11</v>
      </c>
      <c r="H13">
        <f t="shared" si="0"/>
        <v>3.3060026090127534</v>
      </c>
      <c r="I13">
        <f t="shared" si="19"/>
        <v>2.3736752869350171</v>
      </c>
      <c r="J13">
        <f t="shared" si="1"/>
        <v>2.0578870004248162</v>
      </c>
      <c r="K13">
        <f t="shared" si="2"/>
        <v>1.30601012778148</v>
      </c>
      <c r="L13">
        <f t="shared" si="3"/>
        <v>0.51278002714276061</v>
      </c>
    </row>
    <row r="14" spans="1:33">
      <c r="A14">
        <v>61362.3</v>
      </c>
      <c r="B14">
        <v>64437</v>
      </c>
      <c r="C14">
        <v>63042</v>
      </c>
      <c r="D14">
        <v>62875</v>
      </c>
      <c r="E14">
        <v>62167</v>
      </c>
      <c r="F14">
        <v>62162</v>
      </c>
      <c r="G14">
        <v>12</v>
      </c>
      <c r="H14">
        <f t="shared" si="0"/>
        <v>5.010731344815949</v>
      </c>
      <c r="I14">
        <f t="shared" si="19"/>
        <v>2.7373485022562667</v>
      </c>
      <c r="J14">
        <f t="shared" si="1"/>
        <v>2.4651944271971504</v>
      </c>
      <c r="K14">
        <f t="shared" si="2"/>
        <v>1.3113915221561074</v>
      </c>
      <c r="L14">
        <f t="shared" si="3"/>
        <v>1.3032431965555349</v>
      </c>
    </row>
    <row r="15" spans="1:33">
      <c r="A15">
        <v>88276.9</v>
      </c>
      <c r="B15">
        <v>91069</v>
      </c>
      <c r="C15">
        <v>90183</v>
      </c>
      <c r="D15">
        <v>89505</v>
      </c>
      <c r="E15">
        <v>89355</v>
      </c>
      <c r="F15">
        <v>89158</v>
      </c>
      <c r="G15">
        <v>13</v>
      </c>
      <c r="H15">
        <f t="shared" si="0"/>
        <v>3.1628885925989767</v>
      </c>
      <c r="I15">
        <f t="shared" si="19"/>
        <v>2.1592285184459423</v>
      </c>
      <c r="J15">
        <f t="shared" si="1"/>
        <v>1.3911906738909112</v>
      </c>
      <c r="K15">
        <f t="shared" si="2"/>
        <v>1.2212707967769665</v>
      </c>
      <c r="L15">
        <f t="shared" si="3"/>
        <v>0.99810935816731883</v>
      </c>
    </row>
    <row r="16" spans="1:33">
      <c r="A16">
        <v>83429.3</v>
      </c>
      <c r="B16">
        <v>86317</v>
      </c>
      <c r="C16">
        <v>85047</v>
      </c>
      <c r="D16">
        <v>84503</v>
      </c>
      <c r="E16">
        <v>84183</v>
      </c>
      <c r="F16">
        <v>84183</v>
      </c>
      <c r="G16">
        <v>14</v>
      </c>
      <c r="H16">
        <f t="shared" si="0"/>
        <v>3.4612540198707133</v>
      </c>
      <c r="I16">
        <f t="shared" si="19"/>
        <v>1.9390070394933159</v>
      </c>
      <c r="J16">
        <f t="shared" si="1"/>
        <v>1.2869579392371708</v>
      </c>
      <c r="K16">
        <f t="shared" si="2"/>
        <v>0.90339964496885039</v>
      </c>
      <c r="L16">
        <f t="shared" si="3"/>
        <v>0.90339964496885039</v>
      </c>
    </row>
    <row r="17" spans="1:19">
      <c r="A17">
        <v>107293.3</v>
      </c>
      <c r="B17">
        <v>112073</v>
      </c>
      <c r="C17">
        <v>109748</v>
      </c>
      <c r="D17">
        <v>108927</v>
      </c>
      <c r="E17">
        <v>108526</v>
      </c>
      <c r="F17">
        <v>108070</v>
      </c>
      <c r="G17">
        <v>15</v>
      </c>
      <c r="H17">
        <f t="shared" si="0"/>
        <v>4.4547982026836692</v>
      </c>
      <c r="I17">
        <f t="shared" si="19"/>
        <v>2.2878408996647481</v>
      </c>
      <c r="J17">
        <f t="shared" si="1"/>
        <v>1.5226486649212925</v>
      </c>
      <c r="K17">
        <f t="shared" si="2"/>
        <v>1.1489067816909324</v>
      </c>
      <c r="L17">
        <f t="shared" si="3"/>
        <v>0.72390354290528591</v>
      </c>
    </row>
    <row r="18" spans="1:19">
      <c r="A18">
        <v>118657</v>
      </c>
      <c r="B18">
        <v>121844</v>
      </c>
      <c r="C18">
        <v>120390</v>
      </c>
      <c r="D18">
        <v>119966</v>
      </c>
      <c r="E18">
        <v>119807</v>
      </c>
      <c r="F18">
        <v>119390</v>
      </c>
      <c r="G18">
        <v>16</v>
      </c>
      <c r="H18">
        <f t="shared" si="0"/>
        <v>2.6858929519539512</v>
      </c>
      <c r="I18">
        <f t="shared" si="19"/>
        <v>1.4605122327380602</v>
      </c>
      <c r="J18">
        <f t="shared" si="1"/>
        <v>1.1031797534068788</v>
      </c>
      <c r="K18">
        <f t="shared" si="2"/>
        <v>0.96918007365768555</v>
      </c>
      <c r="L18">
        <f t="shared" si="3"/>
        <v>0.6177469512965944</v>
      </c>
      <c r="O18" s="1">
        <v>1</v>
      </c>
      <c r="P18">
        <v>99</v>
      </c>
      <c r="Q18">
        <v>95</v>
      </c>
      <c r="R18">
        <v>90</v>
      </c>
      <c r="S18">
        <v>80</v>
      </c>
    </row>
    <row r="19" spans="1:19" ht="15.5">
      <c r="A19">
        <v>259652.1</v>
      </c>
      <c r="B19">
        <v>262601</v>
      </c>
      <c r="C19">
        <v>260830</v>
      </c>
      <c r="D19">
        <v>260446</v>
      </c>
      <c r="E19">
        <v>260446</v>
      </c>
      <c r="F19">
        <v>260221</v>
      </c>
      <c r="G19">
        <v>17</v>
      </c>
      <c r="H19">
        <f t="shared" si="0"/>
        <v>1.1357119776809022</v>
      </c>
      <c r="I19">
        <f t="shared" si="19"/>
        <v>0.45364547407858213</v>
      </c>
      <c r="J19">
        <f t="shared" si="1"/>
        <v>0.30575527792765561</v>
      </c>
      <c r="K19">
        <f t="shared" si="2"/>
        <v>0.30575527792765561</v>
      </c>
      <c r="L19">
        <f t="shared" si="3"/>
        <v>0.21910086612047203</v>
      </c>
      <c r="N19">
        <v>10</v>
      </c>
      <c r="O19" s="2">
        <f t="shared" ref="O19:O28" si="20">COUNTIF($H$3:$H$74,"&lt;"&amp;N19)</f>
        <v>52</v>
      </c>
      <c r="P19">
        <f t="shared" ref="P19:P28" si="21">COUNTIF($I$3:$I$74,"&lt;"&amp;N19)</f>
        <v>59</v>
      </c>
      <c r="Q19">
        <f t="shared" ref="Q19:Q28" si="22">COUNTIF($J$3:$J$74,"&lt;"&amp;N19)</f>
        <v>62</v>
      </c>
      <c r="R19">
        <f t="shared" ref="R19:R28" si="23">COUNTIF($K$3:$K$74,"&lt;"&amp;N19)</f>
        <v>66</v>
      </c>
      <c r="S19">
        <f t="shared" ref="S19:S28" si="24">COUNTIF($L$3:$L$74,"&lt;"&amp;N19)</f>
        <v>70</v>
      </c>
    </row>
    <row r="20" spans="1:19" ht="15.5">
      <c r="A20">
        <v>168355.20000000001</v>
      </c>
      <c r="B20">
        <v>176043</v>
      </c>
      <c r="C20">
        <v>171708</v>
      </c>
      <c r="D20">
        <v>170590</v>
      </c>
      <c r="E20">
        <v>169998</v>
      </c>
      <c r="F20">
        <v>169400</v>
      </c>
      <c r="G20">
        <v>18</v>
      </c>
      <c r="H20">
        <f t="shared" si="0"/>
        <v>4.5664167189370968</v>
      </c>
      <c r="I20">
        <f t="shared" si="19"/>
        <v>1.9915036779380668</v>
      </c>
      <c r="J20">
        <f t="shared" si="1"/>
        <v>1.3274315257265521</v>
      </c>
      <c r="K20">
        <f t="shared" si="2"/>
        <v>0.97579403546786092</v>
      </c>
      <c r="L20">
        <f t="shared" si="3"/>
        <v>0.62059265172681821</v>
      </c>
      <c r="N20">
        <v>9</v>
      </c>
      <c r="O20" s="2">
        <f t="shared" si="20"/>
        <v>51</v>
      </c>
      <c r="P20">
        <f t="shared" si="21"/>
        <v>58</v>
      </c>
      <c r="Q20">
        <f t="shared" si="22"/>
        <v>61</v>
      </c>
      <c r="R20">
        <f t="shared" si="23"/>
        <v>65</v>
      </c>
      <c r="S20">
        <f t="shared" si="24"/>
        <v>70</v>
      </c>
    </row>
    <row r="21" spans="1:19" ht="15.5">
      <c r="A21">
        <v>258447.2</v>
      </c>
      <c r="B21">
        <v>265574</v>
      </c>
      <c r="C21">
        <v>262677</v>
      </c>
      <c r="D21">
        <v>261246</v>
      </c>
      <c r="E21">
        <v>260504</v>
      </c>
      <c r="F21">
        <v>259665</v>
      </c>
      <c r="G21">
        <v>19</v>
      </c>
      <c r="H21">
        <f t="shared" si="0"/>
        <v>2.7575458352808573</v>
      </c>
      <c r="I21">
        <f t="shared" si="19"/>
        <v>1.6366205553784245</v>
      </c>
      <c r="J21">
        <f t="shared" si="1"/>
        <v>1.0829291244014205</v>
      </c>
      <c r="K21">
        <f t="shared" si="2"/>
        <v>0.7958298638948258</v>
      </c>
      <c r="L21">
        <f t="shared" si="3"/>
        <v>0.47119875935974093</v>
      </c>
      <c r="N21">
        <v>8</v>
      </c>
      <c r="O21" s="2">
        <f t="shared" si="20"/>
        <v>49</v>
      </c>
      <c r="P21">
        <f t="shared" si="21"/>
        <v>58</v>
      </c>
      <c r="Q21">
        <f t="shared" si="22"/>
        <v>61</v>
      </c>
      <c r="R21">
        <f t="shared" si="23"/>
        <v>63</v>
      </c>
      <c r="S21">
        <f t="shared" si="24"/>
        <v>69</v>
      </c>
    </row>
    <row r="22" spans="1:19" ht="15.5">
      <c r="A22">
        <v>256202</v>
      </c>
      <c r="B22">
        <v>268623</v>
      </c>
      <c r="C22">
        <v>264421</v>
      </c>
      <c r="D22">
        <v>259473</v>
      </c>
      <c r="E22">
        <v>258410</v>
      </c>
      <c r="F22">
        <v>257487</v>
      </c>
      <c r="G22">
        <v>20</v>
      </c>
      <c r="H22">
        <f t="shared" si="0"/>
        <v>4.8481276492767424</v>
      </c>
      <c r="I22">
        <f t="shared" si="19"/>
        <v>3.2080155502298964</v>
      </c>
      <c r="J22">
        <f t="shared" si="1"/>
        <v>1.2767269576349911</v>
      </c>
      <c r="K22">
        <f t="shared" si="2"/>
        <v>0.86181997017978007</v>
      </c>
      <c r="L22">
        <f t="shared" si="3"/>
        <v>0.50155736489176506</v>
      </c>
      <c r="N22">
        <v>7</v>
      </c>
      <c r="O22" s="2">
        <f t="shared" si="20"/>
        <v>47</v>
      </c>
      <c r="P22">
        <f t="shared" si="21"/>
        <v>56</v>
      </c>
      <c r="Q22">
        <f t="shared" si="22"/>
        <v>59</v>
      </c>
      <c r="R22">
        <f t="shared" si="23"/>
        <v>63</v>
      </c>
      <c r="S22">
        <f t="shared" si="24"/>
        <v>69</v>
      </c>
    </row>
    <row r="23" spans="1:19" ht="15.5">
      <c r="A23">
        <v>373042.9</v>
      </c>
      <c r="B23">
        <v>380296</v>
      </c>
      <c r="C23">
        <v>377111</v>
      </c>
      <c r="D23">
        <v>375805</v>
      </c>
      <c r="E23">
        <v>375179</v>
      </c>
      <c r="F23">
        <v>374386</v>
      </c>
      <c r="G23">
        <v>21</v>
      </c>
      <c r="H23">
        <f t="shared" si="0"/>
        <v>1.9443072097069736</v>
      </c>
      <c r="I23">
        <f t="shared" si="19"/>
        <v>1.0905180074463223</v>
      </c>
      <c r="J23">
        <f t="shared" si="1"/>
        <v>0.74042422466691538</v>
      </c>
      <c r="K23">
        <f t="shared" si="2"/>
        <v>0.57261510673436666</v>
      </c>
      <c r="L23">
        <f t="shared" si="3"/>
        <v>0.36003901964089829</v>
      </c>
      <c r="N23">
        <v>6</v>
      </c>
      <c r="O23" s="2">
        <f t="shared" si="20"/>
        <v>46</v>
      </c>
      <c r="P23">
        <f t="shared" si="21"/>
        <v>54</v>
      </c>
      <c r="Q23">
        <f t="shared" si="22"/>
        <v>57</v>
      </c>
      <c r="R23">
        <f t="shared" si="23"/>
        <v>61</v>
      </c>
      <c r="S23">
        <f t="shared" si="24"/>
        <v>67</v>
      </c>
    </row>
    <row r="24" spans="1:19" ht="15.5">
      <c r="A24">
        <v>554057.4</v>
      </c>
      <c r="B24">
        <v>561922</v>
      </c>
      <c r="C24">
        <v>557979</v>
      </c>
      <c r="D24">
        <v>556705</v>
      </c>
      <c r="E24">
        <v>556016</v>
      </c>
      <c r="F24">
        <v>555248</v>
      </c>
      <c r="G24">
        <v>22</v>
      </c>
      <c r="H24">
        <f t="shared" si="0"/>
        <v>1.4194558181155918</v>
      </c>
      <c r="I24">
        <f t="shared" si="19"/>
        <v>0.70779670120820992</v>
      </c>
      <c r="J24">
        <f t="shared" si="1"/>
        <v>0.47785662640729587</v>
      </c>
      <c r="K24">
        <f t="shared" si="2"/>
        <v>0.35350127983129126</v>
      </c>
      <c r="L24">
        <f t="shared" si="3"/>
        <v>0.21488748277705105</v>
      </c>
      <c r="N24">
        <v>5</v>
      </c>
      <c r="O24" s="2">
        <f t="shared" si="20"/>
        <v>41</v>
      </c>
      <c r="P24">
        <f t="shared" si="21"/>
        <v>54</v>
      </c>
      <c r="Q24">
        <f t="shared" si="22"/>
        <v>54</v>
      </c>
      <c r="R24">
        <f t="shared" si="23"/>
        <v>58</v>
      </c>
      <c r="S24">
        <f t="shared" si="24"/>
        <v>63</v>
      </c>
    </row>
    <row r="25" spans="1:19" ht="15.5">
      <c r="A25">
        <v>773151.4</v>
      </c>
      <c r="B25">
        <v>783788</v>
      </c>
      <c r="C25">
        <v>779144</v>
      </c>
      <c r="D25">
        <v>777219</v>
      </c>
      <c r="E25">
        <v>776238</v>
      </c>
      <c r="F25">
        <v>775116</v>
      </c>
      <c r="G25">
        <v>23</v>
      </c>
      <c r="H25">
        <f t="shared" si="0"/>
        <v>1.3757460699159281</v>
      </c>
      <c r="I25">
        <f t="shared" si="19"/>
        <v>0.77508751843429069</v>
      </c>
      <c r="J25">
        <f t="shared" si="1"/>
        <v>0.52610652971720373</v>
      </c>
      <c r="K25">
        <f t="shared" si="2"/>
        <v>0.39922323105150903</v>
      </c>
      <c r="L25">
        <f t="shared" si="3"/>
        <v>0.25410288334212117</v>
      </c>
      <c r="N25">
        <v>4</v>
      </c>
      <c r="O25" s="2">
        <f t="shared" si="20"/>
        <v>35</v>
      </c>
      <c r="P25">
        <f t="shared" si="21"/>
        <v>50</v>
      </c>
      <c r="Q25">
        <f t="shared" si="22"/>
        <v>53</v>
      </c>
      <c r="R25">
        <f t="shared" si="23"/>
        <v>56</v>
      </c>
      <c r="S25">
        <f t="shared" si="24"/>
        <v>62</v>
      </c>
    </row>
    <row r="26" spans="1:19" ht="15.5">
      <c r="A26">
        <v>749120</v>
      </c>
      <c r="B26">
        <v>764660</v>
      </c>
      <c r="C26">
        <v>757254</v>
      </c>
      <c r="D26">
        <v>754718</v>
      </c>
      <c r="E26">
        <v>753415</v>
      </c>
      <c r="F26">
        <v>751905</v>
      </c>
      <c r="G26">
        <v>24</v>
      </c>
      <c r="H26">
        <f t="shared" si="0"/>
        <v>2.0744340025630073</v>
      </c>
      <c r="I26">
        <f t="shared" si="19"/>
        <v>1.0858073472874838</v>
      </c>
      <c r="J26">
        <f t="shared" si="1"/>
        <v>0.74727680478428016</v>
      </c>
      <c r="K26">
        <f t="shared" si="2"/>
        <v>0.5733393848782572</v>
      </c>
      <c r="L26">
        <f t="shared" si="3"/>
        <v>0.37176954293037162</v>
      </c>
      <c r="N26">
        <v>3</v>
      </c>
      <c r="O26" s="2">
        <f t="shared" si="20"/>
        <v>25</v>
      </c>
      <c r="P26">
        <f t="shared" si="21"/>
        <v>44</v>
      </c>
      <c r="Q26">
        <f t="shared" si="22"/>
        <v>49</v>
      </c>
      <c r="R26">
        <f t="shared" si="23"/>
        <v>53</v>
      </c>
      <c r="S26">
        <f t="shared" si="24"/>
        <v>59</v>
      </c>
    </row>
    <row r="27" spans="1:19" ht="15.5">
      <c r="A27">
        <v>17568.7</v>
      </c>
      <c r="B27">
        <v>19651</v>
      </c>
      <c r="C27">
        <v>18766</v>
      </c>
      <c r="D27">
        <v>18766</v>
      </c>
      <c r="E27">
        <v>18502</v>
      </c>
      <c r="F27">
        <v>18502</v>
      </c>
      <c r="G27">
        <v>25</v>
      </c>
      <c r="H27">
        <f t="shared" si="0"/>
        <v>11.852328288376484</v>
      </c>
      <c r="I27">
        <f t="shared" si="19"/>
        <v>6.8149606971489032</v>
      </c>
      <c r="J27">
        <f t="shared" si="1"/>
        <v>6.8149606971489032</v>
      </c>
      <c r="K27">
        <f t="shared" si="2"/>
        <v>5.3122883309522004</v>
      </c>
      <c r="L27">
        <f t="shared" si="3"/>
        <v>5.3122883309522004</v>
      </c>
      <c r="N27">
        <v>2</v>
      </c>
      <c r="O27" s="2">
        <f t="shared" si="20"/>
        <v>16</v>
      </c>
      <c r="P27">
        <f t="shared" si="21"/>
        <v>33</v>
      </c>
      <c r="Q27">
        <f t="shared" si="22"/>
        <v>44</v>
      </c>
      <c r="R27">
        <f t="shared" si="23"/>
        <v>50</v>
      </c>
      <c r="S27">
        <f t="shared" si="24"/>
        <v>56</v>
      </c>
    </row>
    <row r="28" spans="1:19" ht="15.5">
      <c r="A28">
        <v>24549.1</v>
      </c>
      <c r="B28">
        <v>27758</v>
      </c>
      <c r="C28">
        <v>26894</v>
      </c>
      <c r="D28">
        <v>26158</v>
      </c>
      <c r="E28">
        <v>25787</v>
      </c>
      <c r="F28">
        <v>25294</v>
      </c>
      <c r="G28">
        <v>26</v>
      </c>
      <c r="H28">
        <f t="shared" si="0"/>
        <v>13.071354958022907</v>
      </c>
      <c r="I28">
        <f t="shared" si="19"/>
        <v>9.5518776655763418</v>
      </c>
      <c r="J28">
        <f t="shared" si="1"/>
        <v>6.5538044164551916</v>
      </c>
      <c r="K28">
        <f t="shared" si="2"/>
        <v>5.0425473846291782</v>
      </c>
      <c r="L28">
        <f t="shared" si="3"/>
        <v>3.0343271240086254</v>
      </c>
      <c r="N28">
        <v>1</v>
      </c>
      <c r="O28" s="2">
        <f t="shared" si="20"/>
        <v>6</v>
      </c>
      <c r="P28">
        <f t="shared" si="21"/>
        <v>17</v>
      </c>
      <c r="Q28">
        <f t="shared" si="22"/>
        <v>22</v>
      </c>
      <c r="R28">
        <f t="shared" si="23"/>
        <v>34</v>
      </c>
      <c r="S28">
        <f t="shared" si="24"/>
        <v>48</v>
      </c>
    </row>
    <row r="29" spans="1:19">
      <c r="A29">
        <v>37788.199999999997</v>
      </c>
      <c r="B29">
        <v>41153</v>
      </c>
      <c r="C29">
        <v>40125</v>
      </c>
      <c r="D29">
        <v>39705</v>
      </c>
      <c r="E29">
        <v>39045</v>
      </c>
      <c r="F29">
        <v>38895</v>
      </c>
      <c r="G29">
        <v>27</v>
      </c>
      <c r="H29">
        <f t="shared" si="0"/>
        <v>8.9043669717001688</v>
      </c>
      <c r="I29">
        <f t="shared" si="19"/>
        <v>6.1839410186248704</v>
      </c>
      <c r="J29">
        <f t="shared" si="1"/>
        <v>5.0724829444112265</v>
      </c>
      <c r="K29">
        <f t="shared" si="2"/>
        <v>3.3259059706469292</v>
      </c>
      <c r="L29">
        <f t="shared" si="3"/>
        <v>2.9289566584277713</v>
      </c>
    </row>
    <row r="30" spans="1:19">
      <c r="A30">
        <v>50566.1</v>
      </c>
      <c r="B30">
        <v>54261</v>
      </c>
      <c r="C30">
        <v>52993</v>
      </c>
      <c r="D30">
        <v>52336</v>
      </c>
      <c r="E30">
        <v>51964</v>
      </c>
      <c r="F30">
        <v>51516</v>
      </c>
      <c r="G30">
        <v>28</v>
      </c>
      <c r="H30">
        <f t="shared" si="0"/>
        <v>7.3070693606981791</v>
      </c>
      <c r="I30">
        <f t="shared" si="19"/>
        <v>4.7994605081269892</v>
      </c>
      <c r="J30">
        <f t="shared" si="1"/>
        <v>3.5001710632222007</v>
      </c>
      <c r="K30">
        <f t="shared" si="2"/>
        <v>2.764500327294376</v>
      </c>
      <c r="L30">
        <f t="shared" si="3"/>
        <v>1.8785312689726941</v>
      </c>
    </row>
    <row r="31" spans="1:19">
      <c r="A31">
        <v>62481.1</v>
      </c>
      <c r="B31">
        <v>66018</v>
      </c>
      <c r="C31">
        <v>64469</v>
      </c>
      <c r="D31">
        <v>63543</v>
      </c>
      <c r="E31">
        <v>63378</v>
      </c>
      <c r="F31">
        <v>63103</v>
      </c>
      <c r="G31">
        <v>29</v>
      </c>
      <c r="H31">
        <f t="shared" si="0"/>
        <v>5.6607518113477546</v>
      </c>
      <c r="I31">
        <f t="shared" si="19"/>
        <v>3.1816021164800254</v>
      </c>
      <c r="J31">
        <f t="shared" si="1"/>
        <v>1.6995539451130046</v>
      </c>
      <c r="K31">
        <f t="shared" si="2"/>
        <v>1.4354740873640213</v>
      </c>
      <c r="L31">
        <f t="shared" si="3"/>
        <v>0.99534099111571583</v>
      </c>
    </row>
    <row r="32" spans="1:19">
      <c r="A32">
        <v>67545.8</v>
      </c>
      <c r="B32">
        <v>71142</v>
      </c>
      <c r="C32">
        <v>69618</v>
      </c>
      <c r="D32">
        <v>68939</v>
      </c>
      <c r="E32">
        <v>68664</v>
      </c>
      <c r="F32">
        <v>68219</v>
      </c>
      <c r="G32">
        <v>30</v>
      </c>
      <c r="H32">
        <f t="shared" si="0"/>
        <v>5.3240912092239592</v>
      </c>
      <c r="I32">
        <f t="shared" si="19"/>
        <v>3.0678443367315169</v>
      </c>
      <c r="J32">
        <f t="shared" si="1"/>
        <v>2.0626004873730079</v>
      </c>
      <c r="K32">
        <f t="shared" si="2"/>
        <v>1.6554693259980591</v>
      </c>
      <c r="L32">
        <f t="shared" si="3"/>
        <v>0.99665708304586975</v>
      </c>
    </row>
    <row r="33" spans="1:12">
      <c r="A33">
        <v>241567.5</v>
      </c>
      <c r="B33">
        <v>244555</v>
      </c>
      <c r="C33">
        <v>243353</v>
      </c>
      <c r="D33">
        <v>242827</v>
      </c>
      <c r="E33">
        <v>242535</v>
      </c>
      <c r="F33">
        <v>242193</v>
      </c>
      <c r="G33">
        <v>31</v>
      </c>
      <c r="H33">
        <f t="shared" si="0"/>
        <v>1.2367143758990757</v>
      </c>
      <c r="I33">
        <f t="shared" si="19"/>
        <v>0.73913088474235988</v>
      </c>
      <c r="J33">
        <f t="shared" si="1"/>
        <v>0.52138636198991994</v>
      </c>
      <c r="K33">
        <f t="shared" si="2"/>
        <v>0.40050917445434508</v>
      </c>
      <c r="L33">
        <f t="shared" si="3"/>
        <v>0.25893383836815798</v>
      </c>
    </row>
    <row r="34" spans="1:12">
      <c r="A34">
        <v>114496.9</v>
      </c>
      <c r="B34">
        <v>118661</v>
      </c>
      <c r="C34">
        <v>116873</v>
      </c>
      <c r="D34">
        <v>116149</v>
      </c>
      <c r="E34">
        <v>115779</v>
      </c>
      <c r="F34">
        <v>115313</v>
      </c>
      <c r="G34">
        <v>32</v>
      </c>
      <c r="H34">
        <f t="shared" si="0"/>
        <v>3.6368670243473891</v>
      </c>
      <c r="I34">
        <f t="shared" si="19"/>
        <v>2.0752526924309791</v>
      </c>
      <c r="J34">
        <f t="shared" si="1"/>
        <v>1.4429211620576678</v>
      </c>
      <c r="K34">
        <f t="shared" si="2"/>
        <v>1.1197683081376053</v>
      </c>
      <c r="L34">
        <f t="shared" si="3"/>
        <v>0.71277038941666182</v>
      </c>
    </row>
    <row r="35" spans="1:12">
      <c r="A35">
        <v>241922.1</v>
      </c>
      <c r="B35">
        <v>245883</v>
      </c>
      <c r="C35">
        <v>244375</v>
      </c>
      <c r="D35">
        <v>243664</v>
      </c>
      <c r="E35">
        <v>243275</v>
      </c>
      <c r="F35">
        <v>242809</v>
      </c>
      <c r="G35">
        <v>33</v>
      </c>
      <c r="H35">
        <f t="shared" si="0"/>
        <v>1.6372625733655561</v>
      </c>
      <c r="I35">
        <f t="shared" si="19"/>
        <v>1.0139214234664771</v>
      </c>
      <c r="J35">
        <f t="shared" si="1"/>
        <v>0.72002516512546566</v>
      </c>
      <c r="K35">
        <f t="shared" si="2"/>
        <v>0.55922960324831594</v>
      </c>
      <c r="L35">
        <f t="shared" si="3"/>
        <v>0.36660561395589497</v>
      </c>
    </row>
    <row r="36" spans="1:12">
      <c r="A36">
        <v>195835.5</v>
      </c>
      <c r="B36">
        <v>200700</v>
      </c>
      <c r="C36">
        <v>198555</v>
      </c>
      <c r="D36">
        <v>197897</v>
      </c>
      <c r="E36">
        <v>197336</v>
      </c>
      <c r="F36">
        <v>196942</v>
      </c>
      <c r="G36">
        <v>34</v>
      </c>
      <c r="H36">
        <f t="shared" ref="H36:H74" si="25">(B36-$A36)/$A36*100</f>
        <v>2.4839725177508676</v>
      </c>
      <c r="I36">
        <f t="shared" ref="I36:I74" si="26">(C36-$A36)/$A36*100</f>
        <v>1.3886654871052491</v>
      </c>
      <c r="J36">
        <f t="shared" ref="J36:J74" si="27">(D36-$A36)/$A36*100</f>
        <v>1.0526692045109289</v>
      </c>
      <c r="K36">
        <f t="shared" ref="K36:K74" si="28">(E36-$A36)/$A36*100</f>
        <v>0.76620428880361324</v>
      </c>
      <c r="L36">
        <f t="shared" ref="L36:L74" si="29">(F36-$A36)/$A36*100</f>
        <v>0.56501502536567683</v>
      </c>
    </row>
    <row r="37" spans="1:12">
      <c r="A37">
        <v>194757.9</v>
      </c>
      <c r="B37">
        <v>201427</v>
      </c>
      <c r="C37">
        <v>198657</v>
      </c>
      <c r="D37">
        <v>197583</v>
      </c>
      <c r="E37">
        <v>196982</v>
      </c>
      <c r="F37">
        <v>196247</v>
      </c>
      <c r="G37">
        <v>35</v>
      </c>
      <c r="H37">
        <f t="shared" si="25"/>
        <v>3.4243026855393315</v>
      </c>
      <c r="I37">
        <f t="shared" si="26"/>
        <v>2.0020240513992018</v>
      </c>
      <c r="J37">
        <f t="shared" si="27"/>
        <v>1.4505701694257362</v>
      </c>
      <c r="K37">
        <f t="shared" si="28"/>
        <v>1.1419819170364878</v>
      </c>
      <c r="L37">
        <f t="shared" si="29"/>
        <v>0.76459029389822231</v>
      </c>
    </row>
    <row r="38" spans="1:12">
      <c r="A38">
        <v>201248.1</v>
      </c>
      <c r="B38">
        <v>211079</v>
      </c>
      <c r="C38">
        <v>206969</v>
      </c>
      <c r="D38">
        <v>205213</v>
      </c>
      <c r="E38">
        <v>204279</v>
      </c>
      <c r="F38">
        <v>203165</v>
      </c>
      <c r="G38">
        <v>36</v>
      </c>
      <c r="H38">
        <f t="shared" si="25"/>
        <v>4.8849653735861329</v>
      </c>
      <c r="I38">
        <f t="shared" si="26"/>
        <v>2.8427100678217552</v>
      </c>
      <c r="J38">
        <f t="shared" si="27"/>
        <v>1.9701552461861722</v>
      </c>
      <c r="K38">
        <f t="shared" si="28"/>
        <v>1.5060514857034646</v>
      </c>
      <c r="L38">
        <f t="shared" si="29"/>
        <v>0.95250588701209804</v>
      </c>
    </row>
    <row r="39" spans="1:12">
      <c r="A39">
        <v>305946.90000000002</v>
      </c>
      <c r="B39">
        <v>314694</v>
      </c>
      <c r="C39">
        <v>310505</v>
      </c>
      <c r="D39">
        <v>309139</v>
      </c>
      <c r="E39">
        <v>308436</v>
      </c>
      <c r="F39">
        <v>307543</v>
      </c>
      <c r="G39">
        <v>37</v>
      </c>
      <c r="H39">
        <f t="shared" si="25"/>
        <v>2.8590255367843165</v>
      </c>
      <c r="I39">
        <f t="shared" si="26"/>
        <v>1.4898336933631215</v>
      </c>
      <c r="J39">
        <f t="shared" si="27"/>
        <v>1.0433509867235056</v>
      </c>
      <c r="K39">
        <f t="shared" si="28"/>
        <v>0.81357255131526951</v>
      </c>
      <c r="L39">
        <f t="shared" si="29"/>
        <v>0.52169183606697</v>
      </c>
    </row>
    <row r="40" spans="1:12">
      <c r="A40">
        <v>268304.2</v>
      </c>
      <c r="B40">
        <v>279173</v>
      </c>
      <c r="C40">
        <v>273844</v>
      </c>
      <c r="D40">
        <v>272106</v>
      </c>
      <c r="E40">
        <v>271207</v>
      </c>
      <c r="F40">
        <v>270128</v>
      </c>
      <c r="G40">
        <v>38</v>
      </c>
      <c r="H40">
        <f t="shared" si="25"/>
        <v>4.0509242866865254</v>
      </c>
      <c r="I40">
        <f t="shared" si="26"/>
        <v>2.0647459115436839</v>
      </c>
      <c r="J40">
        <f t="shared" si="27"/>
        <v>1.4169737186372737</v>
      </c>
      <c r="K40">
        <f t="shared" si="28"/>
        <v>1.0819062839866049</v>
      </c>
      <c r="L40">
        <f t="shared" si="29"/>
        <v>0.6797508201511524</v>
      </c>
    </row>
    <row r="41" spans="1:12">
      <c r="A41">
        <v>347537.3</v>
      </c>
      <c r="B41">
        <v>355441</v>
      </c>
      <c r="C41">
        <v>351824</v>
      </c>
      <c r="D41">
        <v>350483</v>
      </c>
      <c r="E41">
        <v>349792</v>
      </c>
      <c r="F41">
        <v>348946</v>
      </c>
      <c r="G41">
        <v>39</v>
      </c>
      <c r="H41">
        <f t="shared" si="25"/>
        <v>2.2742019345837154</v>
      </c>
      <c r="I41">
        <f t="shared" si="26"/>
        <v>1.2334503375608925</v>
      </c>
      <c r="J41">
        <f t="shared" si="27"/>
        <v>0.84759247424665252</v>
      </c>
      <c r="K41">
        <f t="shared" si="28"/>
        <v>0.64876489516377434</v>
      </c>
      <c r="L41">
        <f t="shared" si="29"/>
        <v>0.40533778676418669</v>
      </c>
    </row>
    <row r="42" spans="1:12">
      <c r="A42">
        <v>362944.5</v>
      </c>
      <c r="B42">
        <v>372861</v>
      </c>
      <c r="C42">
        <v>368246</v>
      </c>
      <c r="D42">
        <v>366646</v>
      </c>
      <c r="E42">
        <v>365783</v>
      </c>
      <c r="F42">
        <v>364755</v>
      </c>
      <c r="G42">
        <v>40</v>
      </c>
      <c r="H42">
        <f t="shared" si="25"/>
        <v>2.73223592036799</v>
      </c>
      <c r="I42">
        <f t="shared" si="26"/>
        <v>1.4606916484476276</v>
      </c>
      <c r="J42">
        <f t="shared" si="27"/>
        <v>1.0198528976193328</v>
      </c>
      <c r="K42">
        <f t="shared" si="28"/>
        <v>0.78207549639132157</v>
      </c>
      <c r="L42">
        <f t="shared" si="29"/>
        <v>0.49883659898414223</v>
      </c>
    </row>
    <row r="43" spans="1:12">
      <c r="A43">
        <v>831868.7</v>
      </c>
      <c r="B43">
        <v>838692</v>
      </c>
      <c r="C43">
        <v>836003</v>
      </c>
      <c r="D43">
        <v>834751</v>
      </c>
      <c r="E43">
        <v>834026</v>
      </c>
      <c r="F43">
        <v>833177</v>
      </c>
      <c r="G43">
        <v>41</v>
      </c>
      <c r="H43">
        <f t="shared" si="25"/>
        <v>0.82023761682583407</v>
      </c>
      <c r="I43">
        <f t="shared" si="26"/>
        <v>0.49698948884602184</v>
      </c>
      <c r="J43">
        <f t="shared" si="27"/>
        <v>0.34648496812057561</v>
      </c>
      <c r="K43">
        <f t="shared" si="28"/>
        <v>0.25933179118291705</v>
      </c>
      <c r="L43">
        <f t="shared" si="29"/>
        <v>0.15727241570695552</v>
      </c>
    </row>
    <row r="44" spans="1:12">
      <c r="A44">
        <v>525345.19999999995</v>
      </c>
      <c r="B44">
        <v>536534</v>
      </c>
      <c r="C44">
        <v>530699</v>
      </c>
      <c r="D44">
        <v>528958</v>
      </c>
      <c r="E44">
        <v>528078</v>
      </c>
      <c r="F44">
        <v>527064</v>
      </c>
      <c r="G44">
        <v>42</v>
      </c>
      <c r="H44">
        <f t="shared" si="25"/>
        <v>2.129799606049517</v>
      </c>
      <c r="I44">
        <f t="shared" si="26"/>
        <v>1.0191013451726687</v>
      </c>
      <c r="J44">
        <f t="shared" si="27"/>
        <v>0.68770020169596047</v>
      </c>
      <c r="K44">
        <f t="shared" si="28"/>
        <v>0.52019129517126017</v>
      </c>
      <c r="L44">
        <f t="shared" si="29"/>
        <v>0.3271753506075713</v>
      </c>
    </row>
    <row r="45" spans="1:12">
      <c r="A45">
        <v>854579.7</v>
      </c>
      <c r="B45">
        <v>869427</v>
      </c>
      <c r="C45">
        <v>862502</v>
      </c>
      <c r="D45">
        <v>860045</v>
      </c>
      <c r="E45">
        <v>858682</v>
      </c>
      <c r="F45">
        <v>857128</v>
      </c>
      <c r="G45">
        <v>43</v>
      </c>
      <c r="H45">
        <f t="shared" si="25"/>
        <v>1.7373803754055994</v>
      </c>
      <c r="I45">
        <f t="shared" si="26"/>
        <v>0.92704050891918521</v>
      </c>
      <c r="J45">
        <f t="shared" si="27"/>
        <v>0.63953075412393334</v>
      </c>
      <c r="K45">
        <f t="shared" si="28"/>
        <v>0.48003714574545209</v>
      </c>
      <c r="L45">
        <f t="shared" si="29"/>
        <v>0.2981933692082841</v>
      </c>
    </row>
    <row r="46" spans="1:12">
      <c r="A46">
        <v>941083</v>
      </c>
      <c r="B46">
        <v>953567</v>
      </c>
      <c r="C46">
        <v>947986</v>
      </c>
      <c r="D46">
        <v>945770</v>
      </c>
      <c r="E46">
        <v>944689</v>
      </c>
      <c r="F46">
        <v>943375</v>
      </c>
      <c r="G46">
        <v>44</v>
      </c>
      <c r="H46">
        <f t="shared" si="25"/>
        <v>1.3265567436666055</v>
      </c>
      <c r="I46">
        <f t="shared" si="26"/>
        <v>0.73351659736707608</v>
      </c>
      <c r="J46">
        <f t="shared" si="27"/>
        <v>0.49804321191648343</v>
      </c>
      <c r="K46">
        <f t="shared" si="28"/>
        <v>0.38317555412221876</v>
      </c>
      <c r="L46">
        <f t="shared" si="29"/>
        <v>0.24354918747868148</v>
      </c>
    </row>
    <row r="47" spans="1:12">
      <c r="A47">
        <v>1336938.5</v>
      </c>
      <c r="B47">
        <v>1354643</v>
      </c>
      <c r="C47">
        <v>1346260</v>
      </c>
      <c r="D47">
        <v>1343360</v>
      </c>
      <c r="E47">
        <v>1341902</v>
      </c>
      <c r="F47">
        <v>1340145</v>
      </c>
      <c r="G47">
        <v>45</v>
      </c>
      <c r="H47">
        <f t="shared" si="25"/>
        <v>1.3242568749422656</v>
      </c>
      <c r="I47">
        <f t="shared" si="26"/>
        <v>0.69722728457591732</v>
      </c>
      <c r="J47">
        <f t="shared" si="27"/>
        <v>0.4803137915468812</v>
      </c>
      <c r="K47">
        <f t="shared" si="28"/>
        <v>0.37125866298262783</v>
      </c>
      <c r="L47">
        <f t="shared" si="29"/>
        <v>0.23983900530951874</v>
      </c>
    </row>
    <row r="48" spans="1:12">
      <c r="A48">
        <v>1821201.3</v>
      </c>
      <c r="B48">
        <v>1838201</v>
      </c>
      <c r="C48">
        <v>1829862</v>
      </c>
      <c r="D48">
        <v>1827210</v>
      </c>
      <c r="E48">
        <v>1825796</v>
      </c>
      <c r="F48">
        <v>1824154</v>
      </c>
      <c r="G48">
        <v>46</v>
      </c>
      <c r="H48">
        <f t="shared" si="25"/>
        <v>0.93343333326194933</v>
      </c>
      <c r="I48">
        <f t="shared" si="26"/>
        <v>0.47554874905920358</v>
      </c>
      <c r="J48">
        <f t="shared" si="27"/>
        <v>0.32993057933793224</v>
      </c>
      <c r="K48">
        <f t="shared" si="28"/>
        <v>0.25228951901143232</v>
      </c>
      <c r="L48">
        <f t="shared" si="29"/>
        <v>0.16212924952337524</v>
      </c>
    </row>
    <row r="49" spans="1:12">
      <c r="A49">
        <v>2620083.7000000002</v>
      </c>
      <c r="B49">
        <v>2642778</v>
      </c>
      <c r="C49">
        <v>2631992</v>
      </c>
      <c r="D49">
        <v>2628452</v>
      </c>
      <c r="E49">
        <v>2626568</v>
      </c>
      <c r="F49">
        <v>2624196</v>
      </c>
      <c r="G49">
        <v>47</v>
      </c>
      <c r="H49">
        <f t="shared" si="25"/>
        <v>0.86616698542874082</v>
      </c>
      <c r="I49">
        <f t="shared" si="26"/>
        <v>0.45450074743794683</v>
      </c>
      <c r="J49">
        <f t="shared" si="27"/>
        <v>0.31939055992752496</v>
      </c>
      <c r="K49">
        <f t="shared" si="28"/>
        <v>0.24748446013384279</v>
      </c>
      <c r="L49">
        <f t="shared" si="29"/>
        <v>0.15695300115793298</v>
      </c>
    </row>
    <row r="50" spans="1:12">
      <c r="A50">
        <v>2525141.9</v>
      </c>
      <c r="B50">
        <v>2558133</v>
      </c>
      <c r="C50">
        <v>2543001</v>
      </c>
      <c r="D50">
        <v>2537701</v>
      </c>
      <c r="E50">
        <v>2534871</v>
      </c>
      <c r="F50">
        <v>2531461</v>
      </c>
      <c r="G50">
        <v>48</v>
      </c>
      <c r="H50">
        <f t="shared" si="25"/>
        <v>1.3065047948394541</v>
      </c>
      <c r="I50">
        <f t="shared" si="26"/>
        <v>0.70725134298393666</v>
      </c>
      <c r="J50">
        <f t="shared" si="27"/>
        <v>0.497362148242049</v>
      </c>
      <c r="K50">
        <f t="shared" si="28"/>
        <v>0.38528923859685249</v>
      </c>
      <c r="L50">
        <f t="shared" si="29"/>
        <v>0.25024732273461914</v>
      </c>
    </row>
    <row r="51" spans="1:12">
      <c r="A51">
        <v>51.2</v>
      </c>
      <c r="B51">
        <v>3166</v>
      </c>
      <c r="C51">
        <v>41</v>
      </c>
      <c r="D51">
        <v>41</v>
      </c>
      <c r="E51">
        <v>41</v>
      </c>
      <c r="F51">
        <v>41</v>
      </c>
      <c r="G51">
        <v>49</v>
      </c>
      <c r="H51">
        <f t="shared" si="25"/>
        <v>6083.59375</v>
      </c>
      <c r="I51">
        <f t="shared" si="26"/>
        <v>-19.921875000000007</v>
      </c>
      <c r="J51">
        <f t="shared" si="27"/>
        <v>-19.921875000000007</v>
      </c>
      <c r="K51">
        <f t="shared" si="28"/>
        <v>-19.921875000000007</v>
      </c>
      <c r="L51">
        <f t="shared" si="29"/>
        <v>-19.921875000000007</v>
      </c>
    </row>
    <row r="52" spans="1:12">
      <c r="A52">
        <v>23.2</v>
      </c>
      <c r="B52">
        <v>1890</v>
      </c>
      <c r="C52">
        <v>17</v>
      </c>
      <c r="D52">
        <v>17</v>
      </c>
      <c r="E52">
        <v>17</v>
      </c>
      <c r="F52">
        <v>17</v>
      </c>
      <c r="G52">
        <v>50</v>
      </c>
      <c r="H52">
        <f t="shared" si="25"/>
        <v>8046.5517241379321</v>
      </c>
      <c r="I52">
        <f t="shared" si="26"/>
        <v>-26.72413793103448</v>
      </c>
      <c r="J52">
        <f t="shared" si="27"/>
        <v>-26.72413793103448</v>
      </c>
      <c r="K52">
        <f t="shared" si="28"/>
        <v>-26.72413793103448</v>
      </c>
      <c r="L52">
        <f t="shared" si="29"/>
        <v>-26.72413793103448</v>
      </c>
    </row>
    <row r="53" spans="1:12">
      <c r="A53">
        <v>8288.9</v>
      </c>
      <c r="B53">
        <v>17764</v>
      </c>
      <c r="C53">
        <v>14311</v>
      </c>
      <c r="D53">
        <v>12211</v>
      </c>
      <c r="E53">
        <v>11455</v>
      </c>
      <c r="F53">
        <v>10288</v>
      </c>
      <c r="G53">
        <v>51</v>
      </c>
      <c r="H53">
        <f t="shared" si="25"/>
        <v>114.31070467733959</v>
      </c>
      <c r="I53">
        <f t="shared" si="26"/>
        <v>72.652583575625243</v>
      </c>
      <c r="J53">
        <f t="shared" si="27"/>
        <v>47.317496893435809</v>
      </c>
      <c r="K53">
        <f t="shared" si="28"/>
        <v>38.196865687847605</v>
      </c>
      <c r="L53">
        <f t="shared" si="29"/>
        <v>24.117796088745195</v>
      </c>
    </row>
    <row r="54" spans="1:12">
      <c r="A54">
        <v>353.4</v>
      </c>
      <c r="B54">
        <v>4597</v>
      </c>
      <c r="C54">
        <v>2221</v>
      </c>
      <c r="D54">
        <v>2177</v>
      </c>
      <c r="E54">
        <v>664</v>
      </c>
      <c r="F54">
        <v>154</v>
      </c>
      <c r="G54">
        <v>52</v>
      </c>
      <c r="H54">
        <f t="shared" si="25"/>
        <v>1200.792303338993</v>
      </c>
      <c r="I54">
        <f t="shared" si="26"/>
        <v>528.46632710809286</v>
      </c>
      <c r="J54">
        <f t="shared" si="27"/>
        <v>516.01584606677989</v>
      </c>
      <c r="K54">
        <f t="shared" si="28"/>
        <v>87.889077532541037</v>
      </c>
      <c r="L54">
        <f t="shared" si="29"/>
        <v>-56.423316355404637</v>
      </c>
    </row>
    <row r="55" spans="1:12">
      <c r="A55">
        <v>29791.1</v>
      </c>
      <c r="B55">
        <v>56265</v>
      </c>
      <c r="C55">
        <v>44601</v>
      </c>
      <c r="D55">
        <v>38560</v>
      </c>
      <c r="E55">
        <v>35261</v>
      </c>
      <c r="F55">
        <v>32427</v>
      </c>
      <c r="G55">
        <v>53</v>
      </c>
      <c r="H55">
        <f t="shared" si="25"/>
        <v>88.865130861230384</v>
      </c>
      <c r="I55">
        <f t="shared" si="26"/>
        <v>49.712498027934529</v>
      </c>
      <c r="J55">
        <f t="shared" si="27"/>
        <v>29.43462980554596</v>
      </c>
      <c r="K55">
        <f t="shared" si="28"/>
        <v>18.360852737898238</v>
      </c>
      <c r="L55">
        <f t="shared" si="29"/>
        <v>8.8479445203433293</v>
      </c>
    </row>
    <row r="56" spans="1:12">
      <c r="A56">
        <v>5193.2</v>
      </c>
      <c r="B56">
        <v>13407</v>
      </c>
      <c r="C56">
        <v>10194</v>
      </c>
      <c r="D56">
        <v>8555</v>
      </c>
      <c r="E56">
        <v>7833</v>
      </c>
      <c r="F56">
        <v>7014</v>
      </c>
      <c r="G56">
        <v>54</v>
      </c>
      <c r="H56">
        <f t="shared" si="25"/>
        <v>158.1645228375568</v>
      </c>
      <c r="I56">
        <f t="shared" si="26"/>
        <v>96.295155202957716</v>
      </c>
      <c r="J56">
        <f t="shared" si="27"/>
        <v>64.734653007779414</v>
      </c>
      <c r="K56">
        <f t="shared" si="28"/>
        <v>50.831857043826545</v>
      </c>
      <c r="L56">
        <f t="shared" si="29"/>
        <v>35.061233921281683</v>
      </c>
    </row>
    <row r="57" spans="1:12">
      <c r="A57">
        <v>82390.3</v>
      </c>
      <c r="B57">
        <v>105877</v>
      </c>
      <c r="C57">
        <v>96298</v>
      </c>
      <c r="D57">
        <v>92178</v>
      </c>
      <c r="E57">
        <v>89954</v>
      </c>
      <c r="F57">
        <v>87109</v>
      </c>
      <c r="G57">
        <v>55</v>
      </c>
      <c r="H57">
        <f t="shared" si="25"/>
        <v>28.506632455519636</v>
      </c>
      <c r="I57">
        <f t="shared" si="26"/>
        <v>16.880263817463945</v>
      </c>
      <c r="J57">
        <f t="shared" si="27"/>
        <v>11.879675155934615</v>
      </c>
      <c r="K57">
        <f t="shared" si="28"/>
        <v>9.1803282667983925</v>
      </c>
      <c r="L57">
        <f t="shared" si="29"/>
        <v>5.7272518730967077</v>
      </c>
    </row>
    <row r="58" spans="1:12">
      <c r="A58">
        <v>43829.2</v>
      </c>
      <c r="B58">
        <v>60449</v>
      </c>
      <c r="C58">
        <v>54065</v>
      </c>
      <c r="D58">
        <v>50707</v>
      </c>
      <c r="E58">
        <v>48836</v>
      </c>
      <c r="F58">
        <v>46595</v>
      </c>
      <c r="G58">
        <v>56</v>
      </c>
      <c r="H58">
        <f t="shared" si="25"/>
        <v>37.919469212305962</v>
      </c>
      <c r="I58">
        <f t="shared" si="26"/>
        <v>23.353837167915461</v>
      </c>
      <c r="J58">
        <f t="shared" si="27"/>
        <v>15.692278207222591</v>
      </c>
      <c r="K58">
        <f t="shared" si="28"/>
        <v>11.423434605240351</v>
      </c>
      <c r="L58">
        <f t="shared" si="29"/>
        <v>6.3104049355224445</v>
      </c>
    </row>
    <row r="59" spans="1:12">
      <c r="A59">
        <v>121631.9</v>
      </c>
      <c r="B59">
        <v>158717</v>
      </c>
      <c r="C59">
        <v>138668</v>
      </c>
      <c r="D59">
        <v>132986</v>
      </c>
      <c r="E59">
        <v>130005</v>
      </c>
      <c r="F59">
        <v>126956</v>
      </c>
      <c r="G59">
        <v>57</v>
      </c>
      <c r="H59">
        <f t="shared" si="25"/>
        <v>30.489616621955268</v>
      </c>
      <c r="I59">
        <f t="shared" si="26"/>
        <v>14.006276314026177</v>
      </c>
      <c r="J59">
        <f t="shared" si="27"/>
        <v>9.3348044386382245</v>
      </c>
      <c r="K59">
        <f t="shared" si="28"/>
        <v>6.8839671171789689</v>
      </c>
      <c r="L59">
        <f t="shared" si="29"/>
        <v>4.3772234093194351</v>
      </c>
    </row>
    <row r="60" spans="1:12">
      <c r="A60">
        <v>42307.7</v>
      </c>
      <c r="B60">
        <v>55268</v>
      </c>
      <c r="C60">
        <v>49362</v>
      </c>
      <c r="D60">
        <v>47055</v>
      </c>
      <c r="E60">
        <v>45936</v>
      </c>
      <c r="F60">
        <v>44602</v>
      </c>
      <c r="G60">
        <v>58</v>
      </c>
      <c r="H60">
        <f t="shared" si="25"/>
        <v>30.633430793921683</v>
      </c>
      <c r="I60">
        <f t="shared" si="26"/>
        <v>16.673796968400559</v>
      </c>
      <c r="J60">
        <f t="shared" si="27"/>
        <v>11.220888868929304</v>
      </c>
      <c r="K60">
        <f t="shared" si="28"/>
        <v>8.5759802589126881</v>
      </c>
      <c r="L60">
        <f t="shared" si="29"/>
        <v>5.4228899231109304</v>
      </c>
    </row>
    <row r="61" spans="1:12">
      <c r="A61">
        <v>36448.9</v>
      </c>
      <c r="B61">
        <v>50507</v>
      </c>
      <c r="C61">
        <v>43989</v>
      </c>
      <c r="D61">
        <v>41395</v>
      </c>
      <c r="E61">
        <v>40135</v>
      </c>
      <c r="F61">
        <v>38696</v>
      </c>
      <c r="G61">
        <v>59</v>
      </c>
      <c r="H61">
        <f t="shared" si="25"/>
        <v>38.569339541110978</v>
      </c>
      <c r="I61">
        <f t="shared" si="26"/>
        <v>20.686769696753533</v>
      </c>
      <c r="J61">
        <f t="shared" si="27"/>
        <v>13.569956843690751</v>
      </c>
      <c r="K61">
        <f t="shared" si="28"/>
        <v>10.113062396944759</v>
      </c>
      <c r="L61">
        <f t="shared" si="29"/>
        <v>6.1650694533991377</v>
      </c>
    </row>
    <row r="62" spans="1:12">
      <c r="A62">
        <v>35853.199999999997</v>
      </c>
      <c r="B62">
        <v>47850</v>
      </c>
      <c r="C62">
        <v>42231</v>
      </c>
      <c r="D62">
        <v>40057</v>
      </c>
      <c r="E62">
        <v>39033</v>
      </c>
      <c r="F62">
        <v>37823</v>
      </c>
      <c r="G62">
        <v>60</v>
      </c>
      <c r="H62">
        <f t="shared" si="25"/>
        <v>33.460890520232518</v>
      </c>
      <c r="I62">
        <f t="shared" si="26"/>
        <v>17.788649269800196</v>
      </c>
      <c r="J62">
        <f t="shared" si="27"/>
        <v>11.725034306561209</v>
      </c>
      <c r="K62">
        <f t="shared" si="28"/>
        <v>8.8689433579150627</v>
      </c>
      <c r="L62">
        <f t="shared" si="29"/>
        <v>5.4940702642999879</v>
      </c>
    </row>
    <row r="63" spans="1:12">
      <c r="A63">
        <v>119510.2</v>
      </c>
      <c r="B63">
        <v>141537</v>
      </c>
      <c r="C63">
        <v>133018</v>
      </c>
      <c r="D63">
        <v>129050</v>
      </c>
      <c r="E63">
        <v>126785</v>
      </c>
      <c r="F63">
        <v>124124</v>
      </c>
      <c r="G63">
        <v>61</v>
      </c>
      <c r="H63">
        <f t="shared" si="25"/>
        <v>18.430895438213646</v>
      </c>
      <c r="I63">
        <f t="shared" si="26"/>
        <v>11.302633582740221</v>
      </c>
      <c r="J63">
        <f t="shared" si="27"/>
        <v>7.9824148901098013</v>
      </c>
      <c r="K63">
        <f t="shared" si="28"/>
        <v>6.0871791696440996</v>
      </c>
      <c r="L63">
        <f t="shared" si="29"/>
        <v>3.8605909788453228</v>
      </c>
    </row>
    <row r="64" spans="1:12">
      <c r="A64">
        <v>114316.4</v>
      </c>
      <c r="B64">
        <v>140975</v>
      </c>
      <c r="C64">
        <v>126163</v>
      </c>
      <c r="D64">
        <v>122553</v>
      </c>
      <c r="E64">
        <v>120666</v>
      </c>
      <c r="F64">
        <v>118340</v>
      </c>
      <c r="G64">
        <v>62</v>
      </c>
      <c r="H64">
        <f t="shared" si="25"/>
        <v>23.320013576354757</v>
      </c>
      <c r="I64">
        <f t="shared" si="26"/>
        <v>10.362992536503954</v>
      </c>
      <c r="J64">
        <f t="shared" si="27"/>
        <v>7.205090433218686</v>
      </c>
      <c r="K64">
        <f t="shared" si="28"/>
        <v>5.5544086412798217</v>
      </c>
      <c r="L64">
        <f t="shared" si="29"/>
        <v>3.5197049592184553</v>
      </c>
    </row>
    <row r="65" spans="1:12">
      <c r="A65">
        <v>181231.9</v>
      </c>
      <c r="B65">
        <v>206700</v>
      </c>
      <c r="C65">
        <v>194571</v>
      </c>
      <c r="D65">
        <v>190450</v>
      </c>
      <c r="E65">
        <v>188262</v>
      </c>
      <c r="F65">
        <v>185665</v>
      </c>
      <c r="G65">
        <v>63</v>
      </c>
      <c r="H65">
        <f t="shared" si="25"/>
        <v>14.052768855814019</v>
      </c>
      <c r="I65">
        <f t="shared" si="26"/>
        <v>7.3602384569162531</v>
      </c>
      <c r="J65">
        <f t="shared" si="27"/>
        <v>5.0863562099166906</v>
      </c>
      <c r="K65">
        <f t="shared" si="28"/>
        <v>3.8790632333490991</v>
      </c>
      <c r="L65">
        <f t="shared" si="29"/>
        <v>2.4460925477247693</v>
      </c>
    </row>
    <row r="66" spans="1:12">
      <c r="A66">
        <v>180337.5</v>
      </c>
      <c r="B66">
        <v>207912</v>
      </c>
      <c r="C66">
        <v>194456</v>
      </c>
      <c r="D66">
        <v>190212</v>
      </c>
      <c r="E66">
        <v>187957</v>
      </c>
      <c r="F66">
        <v>185176</v>
      </c>
      <c r="G66">
        <v>64</v>
      </c>
      <c r="H66">
        <f t="shared" si="25"/>
        <v>15.290496984820129</v>
      </c>
      <c r="I66">
        <f t="shared" si="26"/>
        <v>7.8289318638663623</v>
      </c>
      <c r="J66">
        <f t="shared" si="27"/>
        <v>5.4755666458723224</v>
      </c>
      <c r="K66">
        <f t="shared" si="28"/>
        <v>4.2251334303736048</v>
      </c>
      <c r="L66">
        <f t="shared" si="29"/>
        <v>2.6830248838982462</v>
      </c>
    </row>
    <row r="67" spans="1:12">
      <c r="A67">
        <v>425714.7</v>
      </c>
      <c r="B67">
        <v>464896</v>
      </c>
      <c r="C67">
        <v>445162</v>
      </c>
      <c r="D67">
        <v>439260</v>
      </c>
      <c r="E67">
        <v>435964</v>
      </c>
      <c r="F67">
        <v>432348</v>
      </c>
      <c r="G67">
        <v>65</v>
      </c>
      <c r="H67">
        <f t="shared" si="25"/>
        <v>9.2036521172512913</v>
      </c>
      <c r="I67">
        <f t="shared" si="26"/>
        <v>4.5681532726025171</v>
      </c>
      <c r="J67">
        <f t="shared" si="27"/>
        <v>3.1817787828327253</v>
      </c>
      <c r="K67">
        <f t="shared" si="28"/>
        <v>2.4075513483560678</v>
      </c>
      <c r="L67">
        <f t="shared" si="29"/>
        <v>1.5581562017942976</v>
      </c>
    </row>
    <row r="68" spans="1:12">
      <c r="A68">
        <v>417445.2</v>
      </c>
      <c r="B68">
        <v>450641</v>
      </c>
      <c r="C68">
        <v>437011</v>
      </c>
      <c r="D68">
        <v>430841</v>
      </c>
      <c r="E68">
        <v>427760</v>
      </c>
      <c r="F68">
        <v>423976</v>
      </c>
      <c r="G68">
        <v>66</v>
      </c>
      <c r="H68">
        <f t="shared" si="25"/>
        <v>7.9521335974158971</v>
      </c>
      <c r="I68">
        <f t="shared" si="26"/>
        <v>4.6870343700203012</v>
      </c>
      <c r="J68">
        <f t="shared" si="27"/>
        <v>3.2089960550510552</v>
      </c>
      <c r="K68">
        <f t="shared" si="28"/>
        <v>2.4709351071709502</v>
      </c>
      <c r="L68">
        <f t="shared" si="29"/>
        <v>1.5644688212967808</v>
      </c>
    </row>
    <row r="69" spans="1:12">
      <c r="A69">
        <v>533136.6</v>
      </c>
      <c r="B69">
        <v>566371</v>
      </c>
      <c r="C69">
        <v>552115</v>
      </c>
      <c r="D69">
        <v>546480</v>
      </c>
      <c r="E69">
        <v>543405</v>
      </c>
      <c r="F69">
        <v>539763</v>
      </c>
      <c r="G69">
        <v>67</v>
      </c>
      <c r="H69">
        <f t="shared" si="25"/>
        <v>6.2337494743373512</v>
      </c>
      <c r="I69">
        <f t="shared" si="26"/>
        <v>3.5597631076163267</v>
      </c>
      <c r="J69">
        <f t="shared" si="27"/>
        <v>2.5028107243059328</v>
      </c>
      <c r="K69">
        <f t="shared" si="28"/>
        <v>1.9260354663326478</v>
      </c>
      <c r="L69">
        <f t="shared" si="29"/>
        <v>1.2429084778647768</v>
      </c>
    </row>
    <row r="70" spans="1:12">
      <c r="A70">
        <v>531943.30000000005</v>
      </c>
      <c r="B70">
        <v>561992</v>
      </c>
      <c r="C70">
        <v>549830</v>
      </c>
      <c r="D70">
        <v>544387</v>
      </c>
      <c r="E70">
        <v>541568</v>
      </c>
      <c r="F70">
        <v>538115</v>
      </c>
      <c r="G70">
        <v>68</v>
      </c>
      <c r="H70">
        <f t="shared" si="25"/>
        <v>5.6488539286047876</v>
      </c>
      <c r="I70">
        <f t="shared" si="26"/>
        <v>3.3625200279804166</v>
      </c>
      <c r="J70">
        <f t="shared" si="27"/>
        <v>2.3392906725209159</v>
      </c>
      <c r="K70">
        <f t="shared" si="28"/>
        <v>1.8093469736342109</v>
      </c>
      <c r="L70">
        <f t="shared" si="29"/>
        <v>1.1602176397371586</v>
      </c>
    </row>
    <row r="71" spans="1:12">
      <c r="A71">
        <v>1098116.3999999999</v>
      </c>
      <c r="B71">
        <v>1140390</v>
      </c>
      <c r="C71">
        <v>1122547</v>
      </c>
      <c r="D71">
        <v>1115027</v>
      </c>
      <c r="E71">
        <v>1111098</v>
      </c>
      <c r="F71">
        <v>1106487</v>
      </c>
      <c r="G71">
        <v>69</v>
      </c>
      <c r="H71">
        <f t="shared" si="25"/>
        <v>3.8496465402028508</v>
      </c>
      <c r="I71">
        <f t="shared" si="26"/>
        <v>2.2247732571884087</v>
      </c>
      <c r="J71">
        <f t="shared" si="27"/>
        <v>1.539964251512872</v>
      </c>
      <c r="K71">
        <f t="shared" si="28"/>
        <v>1.1821697590528739</v>
      </c>
      <c r="L71">
        <f t="shared" si="29"/>
        <v>0.76226891793985541</v>
      </c>
    </row>
    <row r="72" spans="1:12">
      <c r="A72">
        <v>1095927.7</v>
      </c>
      <c r="B72">
        <v>1132794</v>
      </c>
      <c r="C72">
        <v>1119346</v>
      </c>
      <c r="D72">
        <v>1112376</v>
      </c>
      <c r="E72">
        <v>1108434</v>
      </c>
      <c r="F72">
        <v>1104041</v>
      </c>
      <c r="G72">
        <v>70</v>
      </c>
      <c r="H72">
        <f t="shared" si="25"/>
        <v>3.3639354128926615</v>
      </c>
      <c r="I72">
        <f t="shared" si="26"/>
        <v>2.1368471661041188</v>
      </c>
      <c r="J72">
        <f t="shared" si="27"/>
        <v>1.5008563064881055</v>
      </c>
      <c r="K72">
        <f t="shared" si="28"/>
        <v>1.1411610455689776</v>
      </c>
      <c r="L72">
        <f t="shared" si="29"/>
        <v>0.74031343490998969</v>
      </c>
    </row>
    <row r="73" spans="1:12">
      <c r="A73">
        <v>2229970.4</v>
      </c>
      <c r="B73">
        <v>2299602</v>
      </c>
      <c r="C73">
        <v>2264253</v>
      </c>
      <c r="D73">
        <v>2253570</v>
      </c>
      <c r="E73">
        <v>2248265</v>
      </c>
      <c r="F73">
        <v>2241814</v>
      </c>
      <c r="G73">
        <v>71</v>
      </c>
      <c r="H73">
        <f t="shared" si="25"/>
        <v>3.1225347206402425</v>
      </c>
      <c r="I73">
        <f t="shared" si="26"/>
        <v>1.537356729039995</v>
      </c>
      <c r="J73">
        <f t="shared" si="27"/>
        <v>1.0582920741907647</v>
      </c>
      <c r="K73">
        <f t="shared" si="28"/>
        <v>0.82039653979264004</v>
      </c>
      <c r="L73">
        <f t="shared" si="29"/>
        <v>0.53111018872717297</v>
      </c>
    </row>
    <row r="74" spans="1:12">
      <c r="A74">
        <v>2239764.5</v>
      </c>
      <c r="B74">
        <v>2298196</v>
      </c>
      <c r="C74">
        <v>2271979</v>
      </c>
      <c r="D74">
        <v>2262347</v>
      </c>
      <c r="E74">
        <v>2257045</v>
      </c>
      <c r="F74">
        <v>2251009</v>
      </c>
      <c r="G74">
        <v>72</v>
      </c>
      <c r="H74">
        <f t="shared" si="25"/>
        <v>2.6088233829940606</v>
      </c>
      <c r="I74">
        <f t="shared" si="26"/>
        <v>1.4382985354040569</v>
      </c>
      <c r="J74">
        <f t="shared" si="27"/>
        <v>1.0082533230614201</v>
      </c>
      <c r="K74">
        <f t="shared" si="28"/>
        <v>0.77153200704806246</v>
      </c>
      <c r="L74">
        <f t="shared" si="29"/>
        <v>0.50203938851606944</v>
      </c>
    </row>
  </sheetData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MultiStartTime</vt:lpstr>
      <vt:lpstr>CutOff16Dec24</vt:lpstr>
      <vt:lpstr>FastEvaluation</vt:lpstr>
      <vt:lpstr>resultOnlatexABC16Dec24</vt:lpstr>
      <vt:lpstr>resultOnlatex2ABC16Dec24</vt:lpstr>
      <vt:lpstr>WorstCasePerformance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</dc:creator>
  <cp:lastModifiedBy>伟 杨</cp:lastModifiedBy>
  <dcterms:created xsi:type="dcterms:W3CDTF">2023-05-12T11:15:00Z</dcterms:created>
  <dcterms:modified xsi:type="dcterms:W3CDTF">2026-09-23T11:27:45Z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2052-12.1.0.15336</vt:lpwstr>
  </property>
  <property fmtid="{D5CDD505-2E9C-101B-9397-08002B2CF9AE}" pid="3" name="ICV">
    <vt:lpwstr>E5BEACE657824EF1B776E1B4E4EA378B_12</vt:lpwstr>
  </property>
</Properties>
</file>